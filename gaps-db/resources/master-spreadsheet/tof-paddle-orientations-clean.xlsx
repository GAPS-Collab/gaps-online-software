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518" sheetId="1" r:id="rId4"/>
  </sheets>
  <definedNames/>
  <calcPr/>
</workbook>
</file>

<file path=xl/sharedStrings.xml><?xml version="1.0" encoding="utf-8"?>
<sst xmlns="http://schemas.openxmlformats.org/spreadsheetml/2006/main" count="793" uniqueCount="37">
  <si>
    <t>Paddle ID</t>
  </si>
  <si>
    <t>Zone</t>
  </si>
  <si>
    <t>Length</t>
  </si>
  <si>
    <t>Width</t>
  </si>
  <si>
    <t>Thickness</t>
  </si>
  <si>
    <t>ID</t>
  </si>
  <si>
    <t>Type</t>
  </si>
  <si>
    <t>A -&gt; B</t>
  </si>
  <si>
    <t>Array Dir</t>
  </si>
  <si>
    <t>Panel Normal</t>
  </si>
  <si>
    <t>PArray Spacing</t>
  </si>
  <si>
    <t>Stagger</t>
  </si>
  <si>
    <t>X</t>
  </si>
  <si>
    <t>Y</t>
  </si>
  <si>
    <t>Z</t>
  </si>
  <si>
    <t>VolumeID</t>
  </si>
  <si>
    <t>CBE</t>
  </si>
  <si>
    <t>12PP</t>
  </si>
  <si>
    <t>-Y</t>
  </si>
  <si>
    <t>-X</t>
  </si>
  <si>
    <t>+Z</t>
  </si>
  <si>
    <t>+Y</t>
  </si>
  <si>
    <t>-Z</t>
  </si>
  <si>
    <t>08PP</t>
  </si>
  <si>
    <t>+X</t>
  </si>
  <si>
    <t>N/A - EDGE</t>
  </si>
  <si>
    <t>EDGE</t>
  </si>
  <si>
    <t>X045</t>
  </si>
  <si>
    <t>X135</t>
  </si>
  <si>
    <t>X225</t>
  </si>
  <si>
    <t>X315</t>
  </si>
  <si>
    <t>UMB</t>
  </si>
  <si>
    <t>06PP</t>
  </si>
  <si>
    <t xml:space="preserve"> </t>
  </si>
  <si>
    <t>COR</t>
  </si>
  <si>
    <t>10PP</t>
  </si>
  <si>
    <t>03PP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</si>
</sst>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/>
    </xf>
    <xf borderId="3" fillId="3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3" fillId="4" fontId="2" numFmtId="0" xfId="0" applyAlignment="1" applyBorder="1" applyFill="1" applyFont="1">
      <alignment horizontal="center" readingOrder="0"/>
    </xf>
    <xf borderId="3" fillId="5" fontId="2" numFmtId="0" xfId="0" applyAlignment="1" applyBorder="1" applyFill="1" applyFont="1">
      <alignment horizontal="center" readingOrder="0"/>
    </xf>
    <xf borderId="3" fillId="6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 shrinkToFit="0" wrapText="1"/>
    </xf>
    <xf borderId="6" fillId="7" fontId="2" numFmtId="0" xfId="0" applyAlignment="1" applyBorder="1" applyFill="1" applyFon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0" fillId="8" fontId="2" numFmtId="0" xfId="0" applyAlignment="1" applyFill="1" applyFont="1">
      <alignment readingOrder="0"/>
    </xf>
    <xf borderId="9" fillId="2" fontId="2" numFmtId="0" xfId="0" applyAlignment="1" applyBorder="1" applyFont="1">
      <alignment horizontal="center" readingOrder="0"/>
    </xf>
    <xf borderId="10" fillId="2" fontId="2" numFmtId="0" xfId="0" applyAlignment="1" applyBorder="1" applyFont="1">
      <alignment horizontal="center" readingOrder="0"/>
    </xf>
    <xf borderId="11" fillId="2" fontId="2" numFmtId="0" xfId="0" applyAlignment="1" applyBorder="1" applyFont="1">
      <alignment horizontal="center" readingOrder="0"/>
    </xf>
    <xf borderId="12" fillId="2" fontId="2" numFmtId="0" xfId="0" applyAlignment="1" applyBorder="1" applyFont="1">
      <alignment horizontal="center" readingOrder="0"/>
    </xf>
    <xf borderId="10" fillId="0" fontId="3" numFmtId="0" xfId="0" applyBorder="1" applyFont="1"/>
    <xf borderId="6" fillId="2" fontId="2" numFmtId="0" xfId="0" applyAlignment="1" applyBorder="1" applyFont="1">
      <alignment horizontal="center" readingOrder="0"/>
    </xf>
    <xf borderId="7" fillId="2" fontId="2" numFmtId="0" xfId="0" applyAlignment="1" applyBorder="1" applyFont="1">
      <alignment horizontal="center" readingOrder="0"/>
    </xf>
    <xf borderId="8" fillId="2" fontId="2" numFmtId="0" xfId="0" applyAlignment="1" applyBorder="1" applyFont="1">
      <alignment horizontal="center" readingOrder="0"/>
    </xf>
    <xf borderId="13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1" fillId="0" fontId="1" numFmtId="2" xfId="0" applyAlignment="1" applyBorder="1" applyFont="1" applyNumberFormat="1">
      <alignment readingOrder="0"/>
    </xf>
    <xf borderId="2" fillId="0" fontId="1" numFmtId="2" xfId="0" applyAlignment="1" applyBorder="1" applyFont="1" applyNumberFormat="1">
      <alignment readingOrder="0"/>
    </xf>
    <xf borderId="14" fillId="0" fontId="1" numFmtId="2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5" fillId="0" fontId="1" numFmtId="2" xfId="0" applyBorder="1" applyFont="1" applyNumberFormat="1"/>
    <xf borderId="16" fillId="0" fontId="1" numFmtId="2" xfId="0" applyBorder="1" applyFont="1" applyNumberFormat="1"/>
    <xf borderId="17" fillId="0" fontId="1" numFmtId="0" xfId="0" applyBorder="1" applyFont="1"/>
    <xf borderId="15" fillId="0" fontId="1" numFmtId="2" xfId="0" applyAlignment="1" applyBorder="1" applyFont="1" applyNumberFormat="1">
      <alignment readingOrder="0"/>
    </xf>
    <xf borderId="16" fillId="0" fontId="1" numFmtId="2" xfId="0" applyAlignment="1" applyBorder="1" applyFont="1" applyNumberFormat="1">
      <alignment readingOrder="0"/>
    </xf>
    <xf borderId="0" fillId="0" fontId="4" numFmtId="0" xfId="0" applyAlignment="1" applyFont="1">
      <alignment horizontal="center" readingOrder="0"/>
    </xf>
    <xf borderId="16" fillId="0" fontId="4" numFmtId="2" xfId="0" applyBorder="1" applyFont="1" applyNumberFormat="1"/>
    <xf borderId="9" fillId="0" fontId="1" numFmtId="2" xfId="0" applyAlignment="1" applyBorder="1" applyFont="1" applyNumberFormat="1">
      <alignment readingOrder="0"/>
    </xf>
    <xf borderId="10" fillId="0" fontId="1" numFmtId="2" xfId="0" applyAlignment="1" applyBorder="1" applyFont="1" applyNumberFormat="1">
      <alignment readingOrder="0"/>
    </xf>
    <xf borderId="18" fillId="0" fontId="1" numFmtId="2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75"/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1"/>
      <c r="C3" s="1"/>
      <c r="D3" s="1"/>
      <c r="E3" s="1"/>
      <c r="F3" s="1"/>
      <c r="G3" s="1"/>
      <c r="H3" s="1"/>
      <c r="I3" s="1"/>
      <c r="J3" s="1"/>
    </row>
    <row r="4">
      <c r="B4" s="1"/>
      <c r="C4" s="1"/>
      <c r="D4" s="1"/>
      <c r="E4" s="1"/>
      <c r="F4" s="1"/>
      <c r="G4" s="1"/>
      <c r="H4" s="1"/>
      <c r="I4" s="1"/>
      <c r="J4" s="1"/>
    </row>
    <row r="5">
      <c r="B5" s="1"/>
      <c r="C5" s="1"/>
      <c r="D5" s="1"/>
      <c r="E5" s="1"/>
      <c r="F5" s="1"/>
      <c r="G5" s="1"/>
      <c r="H5" s="1"/>
      <c r="I5" s="1"/>
      <c r="J5" s="1"/>
    </row>
    <row r="6">
      <c r="B6" s="1"/>
      <c r="C6" s="1"/>
      <c r="D6" s="1"/>
      <c r="E6" s="1"/>
      <c r="F6" s="1"/>
      <c r="G6" s="1"/>
      <c r="H6" s="1"/>
      <c r="I6" s="1"/>
      <c r="J6" s="1"/>
    </row>
    <row r="7">
      <c r="B7" s="1"/>
      <c r="C7" s="1"/>
      <c r="D7" s="1"/>
      <c r="E7" s="1"/>
      <c r="F7" s="1"/>
      <c r="G7" s="1"/>
      <c r="H7" s="1"/>
      <c r="I7" s="1"/>
      <c r="J7" s="1"/>
    </row>
    <row r="8">
      <c r="A8" s="2"/>
      <c r="B8" s="3"/>
      <c r="C8" s="4"/>
      <c r="D8" s="5"/>
      <c r="E8" s="6"/>
      <c r="F8" s="7"/>
      <c r="G8" s="6"/>
      <c r="H8" s="8"/>
      <c r="I8" s="5"/>
      <c r="J8" s="6"/>
      <c r="K8" s="9"/>
      <c r="L8" s="6"/>
      <c r="M8" s="10"/>
      <c r="N8" s="11"/>
      <c r="O8" s="12"/>
      <c r="P8" s="13"/>
      <c r="Q8" s="14"/>
    </row>
    <row r="9">
      <c r="A9" s="15" t="s">
        <v>0</v>
      </c>
      <c r="B9" s="16" t="s">
        <v>1</v>
      </c>
      <c r="C9" s="17" t="s">
        <v>2</v>
      </c>
      <c r="D9" s="16" t="s">
        <v>3</v>
      </c>
      <c r="E9" s="18" t="s">
        <v>4</v>
      </c>
      <c r="F9" s="17" t="s">
        <v>5</v>
      </c>
      <c r="G9" s="18" t="s">
        <v>6</v>
      </c>
      <c r="H9" s="17" t="s">
        <v>7</v>
      </c>
      <c r="I9" s="16" t="s">
        <v>8</v>
      </c>
      <c r="J9" s="18" t="s">
        <v>9</v>
      </c>
      <c r="K9" s="17" t="s">
        <v>10</v>
      </c>
      <c r="L9" s="18" t="s">
        <v>11</v>
      </c>
      <c r="M9" s="19"/>
      <c r="N9" s="20" t="s">
        <v>12</v>
      </c>
      <c r="O9" s="21" t="s">
        <v>13</v>
      </c>
      <c r="P9" s="22" t="s">
        <v>14</v>
      </c>
      <c r="Q9" s="14" t="s">
        <v>15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>
      <c r="A10" s="23">
        <v>1.0</v>
      </c>
      <c r="B10" s="24" t="s">
        <v>16</v>
      </c>
      <c r="C10" s="24">
        <v>180.0</v>
      </c>
      <c r="D10" s="24">
        <v>16.0</v>
      </c>
      <c r="E10" s="24">
        <v>0.635</v>
      </c>
      <c r="F10" s="24">
        <v>1.0</v>
      </c>
      <c r="G10" s="24" t="s">
        <v>17</v>
      </c>
      <c r="H10" s="24" t="s">
        <v>18</v>
      </c>
      <c r="I10" s="24" t="s">
        <v>19</v>
      </c>
      <c r="J10" s="25" t="s">
        <v>20</v>
      </c>
      <c r="K10" s="26">
        <f t="shared" ref="K10:K169" si="1">SWITCH(G10,"12PP", 14.91, "10PP", 14.67, "08PP", 12.95, "06PP", 14.18, "03PP", 15, 0)</f>
        <v>14.91</v>
      </c>
      <c r="L10" s="27">
        <v>0.7</v>
      </c>
      <c r="M10" s="28">
        <f t="shared" ref="M10:M21" si="2">$A$10</f>
        <v>1</v>
      </c>
      <c r="N10" s="29">
        <v>82.0</v>
      </c>
      <c r="O10" s="30">
        <v>0.0</v>
      </c>
      <c r="P10" s="31">
        <v>109.69</v>
      </c>
      <c r="Q10" s="32">
        <v>1.1E8</v>
      </c>
    </row>
    <row r="11">
      <c r="A11" s="33">
        <f t="shared" ref="A11:A169" si="4">A10+1</f>
        <v>2</v>
      </c>
      <c r="B11" s="24" t="s">
        <v>16</v>
      </c>
      <c r="C11" s="24">
        <v>180.0</v>
      </c>
      <c r="D11" s="24">
        <v>16.0</v>
      </c>
      <c r="E11" s="24">
        <v>0.635</v>
      </c>
      <c r="F11" s="24">
        <v>1.0</v>
      </c>
      <c r="G11" s="24" t="s">
        <v>17</v>
      </c>
      <c r="H11" s="24" t="s">
        <v>18</v>
      </c>
      <c r="I11" s="24" t="s">
        <v>19</v>
      </c>
      <c r="J11" s="25" t="s">
        <v>20</v>
      </c>
      <c r="K11" s="26">
        <f t="shared" si="1"/>
        <v>14.91</v>
      </c>
      <c r="L11" s="27">
        <v>0.7</v>
      </c>
      <c r="M11" s="28">
        <f t="shared" si="2"/>
        <v>1</v>
      </c>
      <c r="N11" s="34">
        <f t="shared" ref="N11:P11" si="3">N10 + SWITCH($I11,CONCATENATE("+",N$9), 1, CONCATENATE("-",N$9), -1, 0)*$K11 + SWITCH($J11,CONCATENATE("+",N$9), 1, CONCATENATE("-",N$9), -1, 0)*SWITCH(MOD($A11-$M11,2),1,1,0,-1)*$L11</f>
        <v>67.09</v>
      </c>
      <c r="O11" s="26">
        <f t="shared" si="3"/>
        <v>0</v>
      </c>
      <c r="P11" s="35">
        <f t="shared" si="3"/>
        <v>110.39</v>
      </c>
      <c r="Q11" s="32">
        <v>1.100001E8</v>
      </c>
    </row>
    <row r="12">
      <c r="A12" s="33">
        <f t="shared" si="4"/>
        <v>3</v>
      </c>
      <c r="B12" s="24" t="s">
        <v>16</v>
      </c>
      <c r="C12" s="24">
        <v>180.0</v>
      </c>
      <c r="D12" s="24">
        <v>16.0</v>
      </c>
      <c r="E12" s="24">
        <v>0.635</v>
      </c>
      <c r="F12" s="24">
        <v>1.0</v>
      </c>
      <c r="G12" s="24" t="s">
        <v>17</v>
      </c>
      <c r="H12" s="24" t="s">
        <v>18</v>
      </c>
      <c r="I12" s="24" t="s">
        <v>19</v>
      </c>
      <c r="J12" s="25" t="s">
        <v>20</v>
      </c>
      <c r="K12" s="26">
        <f t="shared" si="1"/>
        <v>14.91</v>
      </c>
      <c r="L12" s="27">
        <v>0.7</v>
      </c>
      <c r="M12" s="28">
        <f t="shared" si="2"/>
        <v>1</v>
      </c>
      <c r="N12" s="34">
        <f t="shared" ref="N12:P12" si="5">N11 + SWITCH($I12,CONCATENATE("+",N$9), 1, CONCATENATE("-",N$9), -1, 0)*$K12 + SWITCH($J12,CONCATENATE("+",N$9), 1, CONCATENATE("-",N$9), -1, 0)*SWITCH(MOD($A12-$M12,2),1,1,0,-1)*$L12</f>
        <v>52.18</v>
      </c>
      <c r="O12" s="26">
        <f t="shared" si="5"/>
        <v>0</v>
      </c>
      <c r="P12" s="35">
        <f t="shared" si="5"/>
        <v>109.69</v>
      </c>
      <c r="Q12" s="32">
        <v>1.100002E8</v>
      </c>
    </row>
    <row r="13">
      <c r="A13" s="33">
        <f t="shared" si="4"/>
        <v>4</v>
      </c>
      <c r="B13" s="24" t="s">
        <v>16</v>
      </c>
      <c r="C13" s="24">
        <v>180.0</v>
      </c>
      <c r="D13" s="24">
        <v>16.0</v>
      </c>
      <c r="E13" s="24">
        <v>0.635</v>
      </c>
      <c r="F13" s="24">
        <v>1.0</v>
      </c>
      <c r="G13" s="24" t="s">
        <v>17</v>
      </c>
      <c r="H13" s="24" t="s">
        <v>18</v>
      </c>
      <c r="I13" s="24" t="s">
        <v>19</v>
      </c>
      <c r="J13" s="25" t="s">
        <v>20</v>
      </c>
      <c r="K13" s="26">
        <f t="shared" si="1"/>
        <v>14.91</v>
      </c>
      <c r="L13" s="27">
        <v>0.7</v>
      </c>
      <c r="M13" s="28">
        <f t="shared" si="2"/>
        <v>1</v>
      </c>
      <c r="N13" s="34">
        <f t="shared" ref="N13:P13" si="6">N12 + SWITCH($I13,CONCATENATE("+",N$9), 1, CONCATENATE("-",N$9), -1, 0)*$K13 + SWITCH($J13,CONCATENATE("+",N$9), 1, CONCATENATE("-",N$9), -1, 0)*SWITCH(MOD($A13-$M13,2),1,1,0,-1)*$L13</f>
        <v>37.27</v>
      </c>
      <c r="O13" s="26">
        <f t="shared" si="6"/>
        <v>0</v>
      </c>
      <c r="P13" s="35">
        <f t="shared" si="6"/>
        <v>110.39</v>
      </c>
      <c r="Q13" s="32">
        <v>1.100003E8</v>
      </c>
    </row>
    <row r="14">
      <c r="A14" s="33">
        <f t="shared" si="4"/>
        <v>5</v>
      </c>
      <c r="B14" s="24" t="s">
        <v>16</v>
      </c>
      <c r="C14" s="24">
        <v>180.0</v>
      </c>
      <c r="D14" s="24">
        <v>16.0</v>
      </c>
      <c r="E14" s="24">
        <v>0.635</v>
      </c>
      <c r="F14" s="24">
        <v>1.0</v>
      </c>
      <c r="G14" s="24" t="s">
        <v>17</v>
      </c>
      <c r="H14" s="24" t="s">
        <v>18</v>
      </c>
      <c r="I14" s="24" t="s">
        <v>19</v>
      </c>
      <c r="J14" s="25" t="s">
        <v>20</v>
      </c>
      <c r="K14" s="26">
        <f t="shared" si="1"/>
        <v>14.91</v>
      </c>
      <c r="L14" s="27">
        <v>0.7</v>
      </c>
      <c r="M14" s="28">
        <f t="shared" si="2"/>
        <v>1</v>
      </c>
      <c r="N14" s="34">
        <f t="shared" ref="N14:P14" si="7">N13 + SWITCH($I14,CONCATENATE("+",N$9), 1, CONCATENATE("-",N$9), -1, 0)*$K14 + SWITCH($J14,CONCATENATE("+",N$9), 1, CONCATENATE("-",N$9), -1, 0)*SWITCH(MOD($A14-$M14,2),1,1,0,-1)*$L14</f>
        <v>22.36</v>
      </c>
      <c r="O14" s="26">
        <f t="shared" si="7"/>
        <v>0</v>
      </c>
      <c r="P14" s="35">
        <f t="shared" si="7"/>
        <v>109.69</v>
      </c>
      <c r="Q14" s="32">
        <v>1.100004E8</v>
      </c>
    </row>
    <row r="15">
      <c r="A15" s="33">
        <f t="shared" si="4"/>
        <v>6</v>
      </c>
      <c r="B15" s="24" t="s">
        <v>16</v>
      </c>
      <c r="C15" s="24">
        <v>180.0</v>
      </c>
      <c r="D15" s="24">
        <v>16.0</v>
      </c>
      <c r="E15" s="24">
        <v>0.635</v>
      </c>
      <c r="F15" s="24">
        <v>1.0</v>
      </c>
      <c r="G15" s="24" t="s">
        <v>17</v>
      </c>
      <c r="H15" s="24" t="s">
        <v>18</v>
      </c>
      <c r="I15" s="24" t="s">
        <v>19</v>
      </c>
      <c r="J15" s="25" t="s">
        <v>20</v>
      </c>
      <c r="K15" s="26">
        <f t="shared" si="1"/>
        <v>14.91</v>
      </c>
      <c r="L15" s="27">
        <v>0.7</v>
      </c>
      <c r="M15" s="28">
        <f t="shared" si="2"/>
        <v>1</v>
      </c>
      <c r="N15" s="34">
        <f t="shared" ref="N15:P15" si="8">N14 + SWITCH($I15,CONCATENATE("+",N$9), 1, CONCATENATE("-",N$9), -1, 0)*$K15 + SWITCH($J15,CONCATENATE("+",N$9), 1, CONCATENATE("-",N$9), -1, 0)*SWITCH(MOD($A15-$M15,2),1,1,0,-1)*$L15</f>
        <v>7.45</v>
      </c>
      <c r="O15" s="26">
        <f t="shared" si="8"/>
        <v>0</v>
      </c>
      <c r="P15" s="35">
        <f t="shared" si="8"/>
        <v>110.39</v>
      </c>
      <c r="Q15" s="32">
        <v>1.100005E8</v>
      </c>
    </row>
    <row r="16">
      <c r="A16" s="33">
        <f t="shared" si="4"/>
        <v>7</v>
      </c>
      <c r="B16" s="24" t="s">
        <v>16</v>
      </c>
      <c r="C16" s="24">
        <v>180.0</v>
      </c>
      <c r="D16" s="24">
        <v>16.0</v>
      </c>
      <c r="E16" s="24">
        <v>0.635</v>
      </c>
      <c r="F16" s="24">
        <v>1.0</v>
      </c>
      <c r="G16" s="24" t="s">
        <v>17</v>
      </c>
      <c r="H16" s="24" t="s">
        <v>18</v>
      </c>
      <c r="I16" s="24" t="s">
        <v>19</v>
      </c>
      <c r="J16" s="25" t="s">
        <v>20</v>
      </c>
      <c r="K16" s="26">
        <f t="shared" si="1"/>
        <v>14.91</v>
      </c>
      <c r="L16" s="27">
        <v>0.7</v>
      </c>
      <c r="M16" s="28">
        <f t="shared" si="2"/>
        <v>1</v>
      </c>
      <c r="N16" s="34">
        <f t="shared" ref="N16:P16" si="9">N15 + SWITCH($I16,CONCATENATE("+",N$9), 1, CONCATENATE("-",N$9), -1, 0)*$K16 + SWITCH($J16,CONCATENATE("+",N$9), 1, CONCATENATE("-",N$9), -1, 0)*SWITCH(MOD($A16-$M16,2),1,1,0,-1)*$L16</f>
        <v>-7.46</v>
      </c>
      <c r="O16" s="26">
        <f t="shared" si="9"/>
        <v>0</v>
      </c>
      <c r="P16" s="35">
        <f t="shared" si="9"/>
        <v>109.69</v>
      </c>
      <c r="Q16" s="32">
        <v>1.100006E8</v>
      </c>
    </row>
    <row r="17">
      <c r="A17" s="33">
        <f t="shared" si="4"/>
        <v>8</v>
      </c>
      <c r="B17" s="24" t="s">
        <v>16</v>
      </c>
      <c r="C17" s="24">
        <v>180.0</v>
      </c>
      <c r="D17" s="24">
        <v>16.0</v>
      </c>
      <c r="E17" s="24">
        <v>0.635</v>
      </c>
      <c r="F17" s="24">
        <v>1.0</v>
      </c>
      <c r="G17" s="24" t="s">
        <v>17</v>
      </c>
      <c r="H17" s="24" t="s">
        <v>18</v>
      </c>
      <c r="I17" s="24" t="s">
        <v>19</v>
      </c>
      <c r="J17" s="25" t="s">
        <v>20</v>
      </c>
      <c r="K17" s="26">
        <f t="shared" si="1"/>
        <v>14.91</v>
      </c>
      <c r="L17" s="27">
        <v>0.7</v>
      </c>
      <c r="M17" s="28">
        <f t="shared" si="2"/>
        <v>1</v>
      </c>
      <c r="N17" s="34">
        <f t="shared" ref="N17:P17" si="10">N16 + SWITCH($I17,CONCATENATE("+",N$9), 1, CONCATENATE("-",N$9), -1, 0)*$K17 + SWITCH($J17,CONCATENATE("+",N$9), 1, CONCATENATE("-",N$9), -1, 0)*SWITCH(MOD($A17-$M17,2),1,1,0,-1)*$L17</f>
        <v>-22.37</v>
      </c>
      <c r="O17" s="26">
        <f t="shared" si="10"/>
        <v>0</v>
      </c>
      <c r="P17" s="35">
        <f t="shared" si="10"/>
        <v>110.39</v>
      </c>
      <c r="Q17" s="32">
        <v>1.100007E8</v>
      </c>
    </row>
    <row r="18">
      <c r="A18" s="33">
        <f t="shared" si="4"/>
        <v>9</v>
      </c>
      <c r="B18" s="24" t="s">
        <v>16</v>
      </c>
      <c r="C18" s="24">
        <v>180.0</v>
      </c>
      <c r="D18" s="24">
        <v>16.0</v>
      </c>
      <c r="E18" s="24">
        <v>0.635</v>
      </c>
      <c r="F18" s="24">
        <v>1.0</v>
      </c>
      <c r="G18" s="24" t="s">
        <v>17</v>
      </c>
      <c r="H18" s="24" t="s">
        <v>18</v>
      </c>
      <c r="I18" s="24" t="s">
        <v>19</v>
      </c>
      <c r="J18" s="25" t="s">
        <v>20</v>
      </c>
      <c r="K18" s="26">
        <f t="shared" si="1"/>
        <v>14.91</v>
      </c>
      <c r="L18" s="27">
        <v>0.7</v>
      </c>
      <c r="M18" s="28">
        <f t="shared" si="2"/>
        <v>1</v>
      </c>
      <c r="N18" s="34">
        <f t="shared" ref="N18:P18" si="11">N17 + SWITCH($I18,CONCATENATE("+",N$9), 1, CONCATENATE("-",N$9), -1, 0)*$K18 + SWITCH($J18,CONCATENATE("+",N$9), 1, CONCATENATE("-",N$9), -1, 0)*SWITCH(MOD($A18-$M18,2),1,1,0,-1)*$L18</f>
        <v>-37.28</v>
      </c>
      <c r="O18" s="26">
        <f t="shared" si="11"/>
        <v>0</v>
      </c>
      <c r="P18" s="35">
        <f t="shared" si="11"/>
        <v>109.69</v>
      </c>
      <c r="Q18" s="32">
        <v>1.100008E8</v>
      </c>
    </row>
    <row r="19">
      <c r="A19" s="33">
        <f t="shared" si="4"/>
        <v>10</v>
      </c>
      <c r="B19" s="24" t="s">
        <v>16</v>
      </c>
      <c r="C19" s="24">
        <v>180.0</v>
      </c>
      <c r="D19" s="24">
        <v>16.0</v>
      </c>
      <c r="E19" s="24">
        <v>0.635</v>
      </c>
      <c r="F19" s="24">
        <v>1.0</v>
      </c>
      <c r="G19" s="24" t="s">
        <v>17</v>
      </c>
      <c r="H19" s="24" t="s">
        <v>18</v>
      </c>
      <c r="I19" s="24" t="s">
        <v>19</v>
      </c>
      <c r="J19" s="25" t="s">
        <v>20</v>
      </c>
      <c r="K19" s="26">
        <f t="shared" si="1"/>
        <v>14.91</v>
      </c>
      <c r="L19" s="27">
        <v>0.7</v>
      </c>
      <c r="M19" s="28">
        <f t="shared" si="2"/>
        <v>1</v>
      </c>
      <c r="N19" s="34">
        <f t="shared" ref="N19:P19" si="12">N18 + SWITCH($I19,CONCATENATE("+",N$9), 1, CONCATENATE("-",N$9), -1, 0)*$K19 + SWITCH($J19,CONCATENATE("+",N$9), 1, CONCATENATE("-",N$9), -1, 0)*SWITCH(MOD($A19-$M19,2),1,1,0,-1)*$L19</f>
        <v>-52.19</v>
      </c>
      <c r="O19" s="26">
        <f t="shared" si="12"/>
        <v>0</v>
      </c>
      <c r="P19" s="35">
        <f t="shared" si="12"/>
        <v>110.39</v>
      </c>
      <c r="Q19" s="32">
        <v>1.100009E8</v>
      </c>
    </row>
    <row r="20">
      <c r="A20" s="33">
        <f t="shared" si="4"/>
        <v>11</v>
      </c>
      <c r="B20" s="24" t="s">
        <v>16</v>
      </c>
      <c r="C20" s="24">
        <v>180.0</v>
      </c>
      <c r="D20" s="24">
        <v>16.0</v>
      </c>
      <c r="E20" s="24">
        <v>0.635</v>
      </c>
      <c r="F20" s="24">
        <v>1.0</v>
      </c>
      <c r="G20" s="24" t="s">
        <v>17</v>
      </c>
      <c r="H20" s="24" t="s">
        <v>18</v>
      </c>
      <c r="I20" s="24" t="s">
        <v>19</v>
      </c>
      <c r="J20" s="25" t="s">
        <v>20</v>
      </c>
      <c r="K20" s="26">
        <f t="shared" si="1"/>
        <v>14.91</v>
      </c>
      <c r="L20" s="27">
        <v>0.7</v>
      </c>
      <c r="M20" s="28">
        <f t="shared" si="2"/>
        <v>1</v>
      </c>
      <c r="N20" s="34">
        <f t="shared" ref="N20:P20" si="13">N19 + SWITCH($I20,CONCATENATE("+",N$9), 1, CONCATENATE("-",N$9), -1, 0)*$K20 + SWITCH($J20,CONCATENATE("+",N$9), 1, CONCATENATE("-",N$9), -1, 0)*SWITCH(MOD($A20-$M20,2),1,1,0,-1)*$L20</f>
        <v>-67.1</v>
      </c>
      <c r="O20" s="26">
        <f t="shared" si="13"/>
        <v>0</v>
      </c>
      <c r="P20" s="35">
        <f t="shared" si="13"/>
        <v>109.69</v>
      </c>
      <c r="Q20" s="32">
        <v>1.10001E8</v>
      </c>
    </row>
    <row r="21">
      <c r="A21" s="33">
        <f t="shared" si="4"/>
        <v>12</v>
      </c>
      <c r="B21" s="24" t="s">
        <v>16</v>
      </c>
      <c r="C21" s="24">
        <v>180.0</v>
      </c>
      <c r="D21" s="24">
        <v>16.0</v>
      </c>
      <c r="E21" s="24">
        <v>0.635</v>
      </c>
      <c r="F21" s="24">
        <v>1.0</v>
      </c>
      <c r="G21" s="24" t="s">
        <v>17</v>
      </c>
      <c r="H21" s="24" t="s">
        <v>18</v>
      </c>
      <c r="I21" s="24" t="s">
        <v>19</v>
      </c>
      <c r="J21" s="25" t="s">
        <v>20</v>
      </c>
      <c r="K21" s="26">
        <f t="shared" si="1"/>
        <v>14.91</v>
      </c>
      <c r="L21" s="27">
        <v>0.7</v>
      </c>
      <c r="M21" s="28">
        <f t="shared" si="2"/>
        <v>1</v>
      </c>
      <c r="N21" s="34">
        <f t="shared" ref="N21:P21" si="14">N20 + SWITCH($I21,CONCATENATE("+",N$9), 1, CONCATENATE("-",N$9), -1, 0)*$K21 + SWITCH($J21,CONCATENATE("+",N$9), 1, CONCATENATE("-",N$9), -1, 0)*SWITCH(MOD($A21-$M21,2),1,1,0,-1)*$L21</f>
        <v>-82.01</v>
      </c>
      <c r="O21" s="26">
        <f t="shared" si="14"/>
        <v>0</v>
      </c>
      <c r="P21" s="35">
        <f t="shared" si="14"/>
        <v>110.39</v>
      </c>
      <c r="Q21" s="32">
        <v>1.100011E8</v>
      </c>
    </row>
    <row r="22">
      <c r="A22" s="36">
        <f t="shared" si="4"/>
        <v>13</v>
      </c>
      <c r="B22" s="24" t="s">
        <v>16</v>
      </c>
      <c r="C22" s="24">
        <v>180.0</v>
      </c>
      <c r="D22" s="24">
        <v>16.0</v>
      </c>
      <c r="E22" s="24">
        <v>0.635</v>
      </c>
      <c r="F22" s="24">
        <v>2.0</v>
      </c>
      <c r="G22" s="24" t="s">
        <v>17</v>
      </c>
      <c r="H22" s="25" t="s">
        <v>21</v>
      </c>
      <c r="I22" s="24" t="s">
        <v>19</v>
      </c>
      <c r="J22" s="24" t="s">
        <v>22</v>
      </c>
      <c r="K22" s="26">
        <f t="shared" si="1"/>
        <v>14.91</v>
      </c>
      <c r="L22" s="27">
        <v>0.7</v>
      </c>
      <c r="M22" s="28">
        <f t="shared" ref="M22:M33" si="15">$A$22</f>
        <v>13</v>
      </c>
      <c r="N22" s="37">
        <v>82.0</v>
      </c>
      <c r="O22" s="27">
        <v>0.0</v>
      </c>
      <c r="P22" s="38">
        <v>-8.91</v>
      </c>
      <c r="Q22" s="32">
        <v>1.110011E8</v>
      </c>
    </row>
    <row r="23">
      <c r="A23" s="33">
        <f t="shared" si="4"/>
        <v>14</v>
      </c>
      <c r="B23" s="24" t="s">
        <v>16</v>
      </c>
      <c r="C23" s="24">
        <v>180.0</v>
      </c>
      <c r="D23" s="24">
        <v>16.0</v>
      </c>
      <c r="E23" s="24">
        <v>0.635</v>
      </c>
      <c r="F23" s="24">
        <v>2.0</v>
      </c>
      <c r="G23" s="24" t="s">
        <v>17</v>
      </c>
      <c r="H23" s="25" t="s">
        <v>21</v>
      </c>
      <c r="I23" s="24" t="s">
        <v>19</v>
      </c>
      <c r="J23" s="24" t="s">
        <v>22</v>
      </c>
      <c r="K23" s="26">
        <f t="shared" si="1"/>
        <v>14.91</v>
      </c>
      <c r="L23" s="27">
        <v>0.7</v>
      </c>
      <c r="M23" s="28">
        <f t="shared" si="15"/>
        <v>13</v>
      </c>
      <c r="N23" s="34">
        <f t="shared" ref="N23:P23" si="16">N22 + SWITCH($I23,CONCATENATE("+",N$9), 1, CONCATENATE("-",N$9), -1, 0)*$K23 + SWITCH($J23,CONCATENATE("+",N$9), 1, CONCATENATE("-",N$9), -1, 0)*SWITCH(MOD($A23-$M23,2),1,1,0,-1)*$L23</f>
        <v>67.09</v>
      </c>
      <c r="O23" s="26">
        <f t="shared" si="16"/>
        <v>0</v>
      </c>
      <c r="P23" s="35">
        <f t="shared" si="16"/>
        <v>-9.61</v>
      </c>
      <c r="Q23" s="32">
        <v>1.11001E8</v>
      </c>
    </row>
    <row r="24">
      <c r="A24" s="33">
        <f t="shared" si="4"/>
        <v>15</v>
      </c>
      <c r="B24" s="24" t="s">
        <v>16</v>
      </c>
      <c r="C24" s="24">
        <v>180.0</v>
      </c>
      <c r="D24" s="24">
        <v>16.0</v>
      </c>
      <c r="E24" s="24">
        <v>0.635</v>
      </c>
      <c r="F24" s="24">
        <v>2.0</v>
      </c>
      <c r="G24" s="24" t="s">
        <v>17</v>
      </c>
      <c r="H24" s="25" t="s">
        <v>21</v>
      </c>
      <c r="I24" s="24" t="s">
        <v>19</v>
      </c>
      <c r="J24" s="24" t="s">
        <v>22</v>
      </c>
      <c r="K24" s="26">
        <f t="shared" si="1"/>
        <v>14.91</v>
      </c>
      <c r="L24" s="27">
        <v>0.7</v>
      </c>
      <c r="M24" s="28">
        <f t="shared" si="15"/>
        <v>13</v>
      </c>
      <c r="N24" s="34">
        <f t="shared" ref="N24:P24" si="17">N23 + SWITCH($I24,CONCATENATE("+",N$9), 1, CONCATENATE("-",N$9), -1, 0)*$K24 + SWITCH($J24,CONCATENATE("+",N$9), 1, CONCATENATE("-",N$9), -1, 0)*SWITCH(MOD($A24-$M24,2),1,1,0,-1)*$L24</f>
        <v>52.18</v>
      </c>
      <c r="O24" s="26">
        <f t="shared" si="17"/>
        <v>0</v>
      </c>
      <c r="P24" s="35">
        <f t="shared" si="17"/>
        <v>-8.91</v>
      </c>
      <c r="Q24" s="32">
        <v>1.110009E8</v>
      </c>
    </row>
    <row r="25">
      <c r="A25" s="33">
        <f t="shared" si="4"/>
        <v>16</v>
      </c>
      <c r="B25" s="24" t="s">
        <v>16</v>
      </c>
      <c r="C25" s="24">
        <v>180.0</v>
      </c>
      <c r="D25" s="24">
        <v>16.0</v>
      </c>
      <c r="E25" s="24">
        <v>0.635</v>
      </c>
      <c r="F25" s="24">
        <v>2.0</v>
      </c>
      <c r="G25" s="24" t="s">
        <v>17</v>
      </c>
      <c r="H25" s="25" t="s">
        <v>21</v>
      </c>
      <c r="I25" s="24" t="s">
        <v>19</v>
      </c>
      <c r="J25" s="24" t="s">
        <v>22</v>
      </c>
      <c r="K25" s="26">
        <f t="shared" si="1"/>
        <v>14.91</v>
      </c>
      <c r="L25" s="27">
        <v>0.7</v>
      </c>
      <c r="M25" s="28">
        <f t="shared" si="15"/>
        <v>13</v>
      </c>
      <c r="N25" s="34">
        <f t="shared" ref="N25:P25" si="18">N24 + SWITCH($I25,CONCATENATE("+",N$9), 1, CONCATENATE("-",N$9), -1, 0)*$K25 + SWITCH($J25,CONCATENATE("+",N$9), 1, CONCATENATE("-",N$9), -1, 0)*SWITCH(MOD($A25-$M25,2),1,1,0,-1)*$L25</f>
        <v>37.27</v>
      </c>
      <c r="O25" s="26">
        <f t="shared" si="18"/>
        <v>0</v>
      </c>
      <c r="P25" s="35">
        <f t="shared" si="18"/>
        <v>-9.61</v>
      </c>
      <c r="Q25" s="32">
        <v>1.110008E8</v>
      </c>
    </row>
    <row r="26">
      <c r="A26" s="33">
        <f t="shared" si="4"/>
        <v>17</v>
      </c>
      <c r="B26" s="24" t="s">
        <v>16</v>
      </c>
      <c r="C26" s="24">
        <v>180.0</v>
      </c>
      <c r="D26" s="24">
        <v>16.0</v>
      </c>
      <c r="E26" s="24">
        <v>0.635</v>
      </c>
      <c r="F26" s="24">
        <v>2.0</v>
      </c>
      <c r="G26" s="24" t="s">
        <v>17</v>
      </c>
      <c r="H26" s="25" t="s">
        <v>21</v>
      </c>
      <c r="I26" s="24" t="s">
        <v>19</v>
      </c>
      <c r="J26" s="24" t="s">
        <v>22</v>
      </c>
      <c r="K26" s="26">
        <f t="shared" si="1"/>
        <v>14.91</v>
      </c>
      <c r="L26" s="27">
        <v>0.7</v>
      </c>
      <c r="M26" s="28">
        <f t="shared" si="15"/>
        <v>13</v>
      </c>
      <c r="N26" s="34">
        <f t="shared" ref="N26:P26" si="19">N25 + SWITCH($I26,CONCATENATE("+",N$9), 1, CONCATENATE("-",N$9), -1, 0)*$K26 + SWITCH($J26,CONCATENATE("+",N$9), 1, CONCATENATE("-",N$9), -1, 0)*SWITCH(MOD($A26-$M26,2),1,1,0,-1)*$L26</f>
        <v>22.36</v>
      </c>
      <c r="O26" s="26">
        <f t="shared" si="19"/>
        <v>0</v>
      </c>
      <c r="P26" s="35">
        <f t="shared" si="19"/>
        <v>-8.91</v>
      </c>
      <c r="Q26" s="32">
        <v>1.110007E8</v>
      </c>
    </row>
    <row r="27">
      <c r="A27" s="33">
        <f t="shared" si="4"/>
        <v>18</v>
      </c>
      <c r="B27" s="24" t="s">
        <v>16</v>
      </c>
      <c r="C27" s="24">
        <v>180.0</v>
      </c>
      <c r="D27" s="24">
        <v>16.0</v>
      </c>
      <c r="E27" s="24">
        <v>0.635</v>
      </c>
      <c r="F27" s="24">
        <v>2.0</v>
      </c>
      <c r="G27" s="24" t="s">
        <v>17</v>
      </c>
      <c r="H27" s="25" t="s">
        <v>21</v>
      </c>
      <c r="I27" s="24" t="s">
        <v>19</v>
      </c>
      <c r="J27" s="24" t="s">
        <v>22</v>
      </c>
      <c r="K27" s="26">
        <f t="shared" si="1"/>
        <v>14.91</v>
      </c>
      <c r="L27" s="27">
        <v>0.7</v>
      </c>
      <c r="M27" s="28">
        <f t="shared" si="15"/>
        <v>13</v>
      </c>
      <c r="N27" s="34">
        <f t="shared" ref="N27:P27" si="20">N26 + SWITCH($I27,CONCATENATE("+",N$9), 1, CONCATENATE("-",N$9), -1, 0)*$K27 + SWITCH($J27,CONCATENATE("+",N$9), 1, CONCATENATE("-",N$9), -1, 0)*SWITCH(MOD($A27-$M27,2),1,1,0,-1)*$L27</f>
        <v>7.45</v>
      </c>
      <c r="O27" s="26">
        <f t="shared" si="20"/>
        <v>0</v>
      </c>
      <c r="P27" s="35">
        <f t="shared" si="20"/>
        <v>-9.61</v>
      </c>
      <c r="Q27" s="32">
        <v>1.110006E8</v>
      </c>
    </row>
    <row r="28">
      <c r="A28" s="33">
        <f t="shared" si="4"/>
        <v>19</v>
      </c>
      <c r="B28" s="24" t="s">
        <v>16</v>
      </c>
      <c r="C28" s="24">
        <v>180.0</v>
      </c>
      <c r="D28" s="24">
        <v>16.0</v>
      </c>
      <c r="E28" s="24">
        <v>0.635</v>
      </c>
      <c r="F28" s="24">
        <v>2.0</v>
      </c>
      <c r="G28" s="24" t="s">
        <v>17</v>
      </c>
      <c r="H28" s="25" t="s">
        <v>21</v>
      </c>
      <c r="I28" s="24" t="s">
        <v>19</v>
      </c>
      <c r="J28" s="24" t="s">
        <v>22</v>
      </c>
      <c r="K28" s="26">
        <f t="shared" si="1"/>
        <v>14.91</v>
      </c>
      <c r="L28" s="27">
        <v>0.7</v>
      </c>
      <c r="M28" s="28">
        <f t="shared" si="15"/>
        <v>13</v>
      </c>
      <c r="N28" s="34">
        <f t="shared" ref="N28:P28" si="21">N27 + SWITCH($I28,CONCATENATE("+",N$9), 1, CONCATENATE("-",N$9), -1, 0)*$K28 + SWITCH($J28,CONCATENATE("+",N$9), 1, CONCATENATE("-",N$9), -1, 0)*SWITCH(MOD($A28-$M28,2),1,1,0,-1)*$L28</f>
        <v>-7.46</v>
      </c>
      <c r="O28" s="26">
        <f t="shared" si="21"/>
        <v>0</v>
      </c>
      <c r="P28" s="35">
        <f t="shared" si="21"/>
        <v>-8.91</v>
      </c>
      <c r="Q28" s="32">
        <v>1.110005E8</v>
      </c>
    </row>
    <row r="29">
      <c r="A29" s="33">
        <f t="shared" si="4"/>
        <v>20</v>
      </c>
      <c r="B29" s="24" t="s">
        <v>16</v>
      </c>
      <c r="C29" s="24">
        <v>180.0</v>
      </c>
      <c r="D29" s="24">
        <v>16.0</v>
      </c>
      <c r="E29" s="24">
        <v>0.635</v>
      </c>
      <c r="F29" s="24">
        <v>2.0</v>
      </c>
      <c r="G29" s="24" t="s">
        <v>17</v>
      </c>
      <c r="H29" s="25" t="s">
        <v>21</v>
      </c>
      <c r="I29" s="24" t="s">
        <v>19</v>
      </c>
      <c r="J29" s="24" t="s">
        <v>22</v>
      </c>
      <c r="K29" s="26">
        <f t="shared" si="1"/>
        <v>14.91</v>
      </c>
      <c r="L29" s="27">
        <v>0.7</v>
      </c>
      <c r="M29" s="28">
        <f t="shared" si="15"/>
        <v>13</v>
      </c>
      <c r="N29" s="34">
        <f t="shared" ref="N29:P29" si="22">N28 + SWITCH($I29,CONCATENATE("+",N$9), 1, CONCATENATE("-",N$9), -1, 0)*$K29 + SWITCH($J29,CONCATENATE("+",N$9), 1, CONCATENATE("-",N$9), -1, 0)*SWITCH(MOD($A29-$M29,2),1,1,0,-1)*$L29</f>
        <v>-22.37</v>
      </c>
      <c r="O29" s="26">
        <f t="shared" si="22"/>
        <v>0</v>
      </c>
      <c r="P29" s="35">
        <f t="shared" si="22"/>
        <v>-9.61</v>
      </c>
      <c r="Q29" s="32">
        <v>1.110004E8</v>
      </c>
    </row>
    <row r="30">
      <c r="A30" s="33">
        <f t="shared" si="4"/>
        <v>21</v>
      </c>
      <c r="B30" s="24" t="s">
        <v>16</v>
      </c>
      <c r="C30" s="24">
        <v>180.0</v>
      </c>
      <c r="D30" s="24">
        <v>16.0</v>
      </c>
      <c r="E30" s="24">
        <v>0.635</v>
      </c>
      <c r="F30" s="24">
        <v>2.0</v>
      </c>
      <c r="G30" s="24" t="s">
        <v>17</v>
      </c>
      <c r="H30" s="25" t="s">
        <v>21</v>
      </c>
      <c r="I30" s="24" t="s">
        <v>19</v>
      </c>
      <c r="J30" s="24" t="s">
        <v>22</v>
      </c>
      <c r="K30" s="26">
        <f t="shared" si="1"/>
        <v>14.91</v>
      </c>
      <c r="L30" s="27">
        <v>0.7</v>
      </c>
      <c r="M30" s="28">
        <f t="shared" si="15"/>
        <v>13</v>
      </c>
      <c r="N30" s="34">
        <f t="shared" ref="N30:P30" si="23">N29 + SWITCH($I30,CONCATENATE("+",N$9), 1, CONCATENATE("-",N$9), -1, 0)*$K30 + SWITCH($J30,CONCATENATE("+",N$9), 1, CONCATENATE("-",N$9), -1, 0)*SWITCH(MOD($A30-$M30,2),1,1,0,-1)*$L30</f>
        <v>-37.28</v>
      </c>
      <c r="O30" s="26">
        <f t="shared" si="23"/>
        <v>0</v>
      </c>
      <c r="P30" s="35">
        <f t="shared" si="23"/>
        <v>-8.91</v>
      </c>
      <c r="Q30" s="32">
        <v>1.110003E8</v>
      </c>
    </row>
    <row r="31">
      <c r="A31" s="33">
        <f t="shared" si="4"/>
        <v>22</v>
      </c>
      <c r="B31" s="24" t="s">
        <v>16</v>
      </c>
      <c r="C31" s="24">
        <v>180.0</v>
      </c>
      <c r="D31" s="24">
        <v>16.0</v>
      </c>
      <c r="E31" s="24">
        <v>0.635</v>
      </c>
      <c r="F31" s="24">
        <v>2.0</v>
      </c>
      <c r="G31" s="24" t="s">
        <v>17</v>
      </c>
      <c r="H31" s="25" t="s">
        <v>21</v>
      </c>
      <c r="I31" s="24" t="s">
        <v>19</v>
      </c>
      <c r="J31" s="24" t="s">
        <v>22</v>
      </c>
      <c r="K31" s="26">
        <f t="shared" si="1"/>
        <v>14.91</v>
      </c>
      <c r="L31" s="27">
        <v>0.7</v>
      </c>
      <c r="M31" s="28">
        <f t="shared" si="15"/>
        <v>13</v>
      </c>
      <c r="N31" s="34">
        <f t="shared" ref="N31:P31" si="24">N30 + SWITCH($I31,CONCATENATE("+",N$9), 1, CONCATENATE("-",N$9), -1, 0)*$K31 + SWITCH($J31,CONCATENATE("+",N$9), 1, CONCATENATE("-",N$9), -1, 0)*SWITCH(MOD($A31-$M31,2),1,1,0,-1)*$L31</f>
        <v>-52.19</v>
      </c>
      <c r="O31" s="26">
        <f t="shared" si="24"/>
        <v>0</v>
      </c>
      <c r="P31" s="35">
        <f t="shared" si="24"/>
        <v>-9.61</v>
      </c>
      <c r="Q31" s="32">
        <v>1.110002E8</v>
      </c>
    </row>
    <row r="32">
      <c r="A32" s="33">
        <f t="shared" si="4"/>
        <v>23</v>
      </c>
      <c r="B32" s="24" t="s">
        <v>16</v>
      </c>
      <c r="C32" s="24">
        <v>180.0</v>
      </c>
      <c r="D32" s="24">
        <v>16.0</v>
      </c>
      <c r="E32" s="24">
        <v>0.635</v>
      </c>
      <c r="F32" s="24">
        <v>2.0</v>
      </c>
      <c r="G32" s="24" t="s">
        <v>17</v>
      </c>
      <c r="H32" s="25" t="s">
        <v>21</v>
      </c>
      <c r="I32" s="24" t="s">
        <v>19</v>
      </c>
      <c r="J32" s="24" t="s">
        <v>22</v>
      </c>
      <c r="K32" s="26">
        <f t="shared" si="1"/>
        <v>14.91</v>
      </c>
      <c r="L32" s="27">
        <v>0.7</v>
      </c>
      <c r="M32" s="28">
        <f t="shared" si="15"/>
        <v>13</v>
      </c>
      <c r="N32" s="34">
        <f t="shared" ref="N32:P32" si="25">N31 + SWITCH($I32,CONCATENATE("+",N$9), 1, CONCATENATE("-",N$9), -1, 0)*$K32 + SWITCH($J32,CONCATENATE("+",N$9), 1, CONCATENATE("-",N$9), -1, 0)*SWITCH(MOD($A32-$M32,2),1,1,0,-1)*$L32</f>
        <v>-67.1</v>
      </c>
      <c r="O32" s="26">
        <f t="shared" si="25"/>
        <v>0</v>
      </c>
      <c r="P32" s="35">
        <f t="shared" si="25"/>
        <v>-8.91</v>
      </c>
      <c r="Q32" s="32">
        <v>1.110001E8</v>
      </c>
    </row>
    <row r="33">
      <c r="A33" s="33">
        <f t="shared" si="4"/>
        <v>24</v>
      </c>
      <c r="B33" s="24" t="s">
        <v>16</v>
      </c>
      <c r="C33" s="24">
        <v>180.0</v>
      </c>
      <c r="D33" s="24">
        <v>16.0</v>
      </c>
      <c r="E33" s="24">
        <v>0.635</v>
      </c>
      <c r="F33" s="24">
        <v>2.0</v>
      </c>
      <c r="G33" s="24" t="s">
        <v>17</v>
      </c>
      <c r="H33" s="25" t="s">
        <v>21</v>
      </c>
      <c r="I33" s="24" t="s">
        <v>19</v>
      </c>
      <c r="J33" s="24" t="s">
        <v>22</v>
      </c>
      <c r="K33" s="26">
        <f t="shared" si="1"/>
        <v>14.91</v>
      </c>
      <c r="L33" s="27">
        <v>0.7</v>
      </c>
      <c r="M33" s="28">
        <f t="shared" si="15"/>
        <v>13</v>
      </c>
      <c r="N33" s="34">
        <f t="shared" ref="N33:P33" si="26">N32 + SWITCH($I33,CONCATENATE("+",N$9), 1, CONCATENATE("-",N$9), -1, 0)*$K33 + SWITCH($J33,CONCATENATE("+",N$9), 1, CONCATENATE("-",N$9), -1, 0)*SWITCH(MOD($A33-$M33,2),1,1,0,-1)*$L33</f>
        <v>-82.01</v>
      </c>
      <c r="O33" s="26">
        <f t="shared" si="26"/>
        <v>0</v>
      </c>
      <c r="P33" s="35">
        <f t="shared" si="26"/>
        <v>-9.61</v>
      </c>
      <c r="Q33" s="32">
        <v>1.11E8</v>
      </c>
    </row>
    <row r="34">
      <c r="A34" s="36">
        <f t="shared" si="4"/>
        <v>25</v>
      </c>
      <c r="B34" s="24" t="s">
        <v>16</v>
      </c>
      <c r="C34" s="24">
        <v>156.0</v>
      </c>
      <c r="D34" s="24">
        <v>16.0</v>
      </c>
      <c r="E34" s="24">
        <v>0.635</v>
      </c>
      <c r="F34" s="24">
        <v>3.0</v>
      </c>
      <c r="G34" s="24" t="s">
        <v>23</v>
      </c>
      <c r="H34" s="25" t="s">
        <v>21</v>
      </c>
      <c r="I34" s="24" t="s">
        <v>22</v>
      </c>
      <c r="J34" s="25" t="s">
        <v>24</v>
      </c>
      <c r="K34" s="26">
        <f t="shared" si="1"/>
        <v>12.95</v>
      </c>
      <c r="L34" s="27">
        <v>0.7</v>
      </c>
      <c r="M34" s="28">
        <f t="shared" ref="M34:M41" si="27">$A$34</f>
        <v>25</v>
      </c>
      <c r="N34" s="37">
        <v>84.57</v>
      </c>
      <c r="O34" s="27">
        <v>0.0</v>
      </c>
      <c r="P34" s="38">
        <v>97.23</v>
      </c>
      <c r="Q34" s="32">
        <v>1.120007E8</v>
      </c>
    </row>
    <row r="35">
      <c r="A35" s="33">
        <f t="shared" si="4"/>
        <v>26</v>
      </c>
      <c r="B35" s="24" t="s">
        <v>16</v>
      </c>
      <c r="C35" s="24">
        <v>156.0</v>
      </c>
      <c r="D35" s="24">
        <v>16.0</v>
      </c>
      <c r="E35" s="24">
        <v>0.635</v>
      </c>
      <c r="F35" s="24">
        <v>3.0</v>
      </c>
      <c r="G35" s="24" t="s">
        <v>23</v>
      </c>
      <c r="H35" s="25" t="s">
        <v>21</v>
      </c>
      <c r="I35" s="24" t="s">
        <v>22</v>
      </c>
      <c r="J35" s="25" t="s">
        <v>24</v>
      </c>
      <c r="K35" s="26">
        <f t="shared" si="1"/>
        <v>12.95</v>
      </c>
      <c r="L35" s="27">
        <v>0.7</v>
      </c>
      <c r="M35" s="28">
        <f t="shared" si="27"/>
        <v>25</v>
      </c>
      <c r="N35" s="34">
        <f t="shared" ref="N35:P35" si="28">N34 + SWITCH($I35,CONCATENATE("+",N$9), 1, CONCATENATE("-",N$9), -1, 0)*$K35 + SWITCH($J35,CONCATENATE("+",N$9), 1, CONCATENATE("-",N$9), -1, 0)*SWITCH(MOD($A35-$M35,2),1,1,0,-1)*$L35</f>
        <v>85.27</v>
      </c>
      <c r="O35" s="26">
        <f t="shared" si="28"/>
        <v>0</v>
      </c>
      <c r="P35" s="35">
        <f t="shared" si="28"/>
        <v>84.28</v>
      </c>
      <c r="Q35" s="32">
        <v>1.120006E8</v>
      </c>
    </row>
    <row r="36">
      <c r="A36" s="33">
        <f t="shared" si="4"/>
        <v>27</v>
      </c>
      <c r="B36" s="24" t="s">
        <v>16</v>
      </c>
      <c r="C36" s="24">
        <v>156.0</v>
      </c>
      <c r="D36" s="24">
        <v>16.0</v>
      </c>
      <c r="E36" s="24">
        <v>0.635</v>
      </c>
      <c r="F36" s="24">
        <v>3.0</v>
      </c>
      <c r="G36" s="24" t="s">
        <v>23</v>
      </c>
      <c r="H36" s="25" t="s">
        <v>21</v>
      </c>
      <c r="I36" s="24" t="s">
        <v>22</v>
      </c>
      <c r="J36" s="25" t="s">
        <v>24</v>
      </c>
      <c r="K36" s="26">
        <f t="shared" si="1"/>
        <v>12.95</v>
      </c>
      <c r="L36" s="27">
        <v>0.7</v>
      </c>
      <c r="M36" s="28">
        <f t="shared" si="27"/>
        <v>25</v>
      </c>
      <c r="N36" s="34">
        <f t="shared" ref="N36:P36" si="29">N35 + SWITCH($I36,CONCATENATE("+",N$9), 1, CONCATENATE("-",N$9), -1, 0)*$K36 + SWITCH($J36,CONCATENATE("+",N$9), 1, CONCATENATE("-",N$9), -1, 0)*SWITCH(MOD($A36-$M36,2),1,1,0,-1)*$L36</f>
        <v>84.57</v>
      </c>
      <c r="O36" s="26">
        <f t="shared" si="29"/>
        <v>0</v>
      </c>
      <c r="P36" s="35">
        <f t="shared" si="29"/>
        <v>71.33</v>
      </c>
      <c r="Q36" s="32">
        <v>1.120005E8</v>
      </c>
    </row>
    <row r="37">
      <c r="A37" s="33">
        <f t="shared" si="4"/>
        <v>28</v>
      </c>
      <c r="B37" s="24" t="s">
        <v>16</v>
      </c>
      <c r="C37" s="24">
        <v>156.0</v>
      </c>
      <c r="D37" s="24">
        <v>16.0</v>
      </c>
      <c r="E37" s="24">
        <v>0.635</v>
      </c>
      <c r="F37" s="24">
        <v>3.0</v>
      </c>
      <c r="G37" s="24" t="s">
        <v>23</v>
      </c>
      <c r="H37" s="25" t="s">
        <v>21</v>
      </c>
      <c r="I37" s="24" t="s">
        <v>22</v>
      </c>
      <c r="J37" s="25" t="s">
        <v>24</v>
      </c>
      <c r="K37" s="26">
        <f t="shared" si="1"/>
        <v>12.95</v>
      </c>
      <c r="L37" s="27">
        <v>0.7</v>
      </c>
      <c r="M37" s="28">
        <f t="shared" si="27"/>
        <v>25</v>
      </c>
      <c r="N37" s="34">
        <f t="shared" ref="N37:P37" si="30">N36 + SWITCH($I37,CONCATENATE("+",N$9), 1, CONCATENATE("-",N$9), -1, 0)*$K37 + SWITCH($J37,CONCATENATE("+",N$9), 1, CONCATENATE("-",N$9), -1, 0)*SWITCH(MOD($A37-$M37,2),1,1,0,-1)*$L37</f>
        <v>85.27</v>
      </c>
      <c r="O37" s="26">
        <f t="shared" si="30"/>
        <v>0</v>
      </c>
      <c r="P37" s="35">
        <f t="shared" si="30"/>
        <v>58.38</v>
      </c>
      <c r="Q37" s="32">
        <v>1.120004E8</v>
      </c>
    </row>
    <row r="38">
      <c r="A38" s="33">
        <f t="shared" si="4"/>
        <v>29</v>
      </c>
      <c r="B38" s="24" t="s">
        <v>16</v>
      </c>
      <c r="C38" s="24">
        <v>156.0</v>
      </c>
      <c r="D38" s="24">
        <v>16.0</v>
      </c>
      <c r="E38" s="24">
        <v>0.635</v>
      </c>
      <c r="F38" s="24">
        <v>3.0</v>
      </c>
      <c r="G38" s="24" t="s">
        <v>23</v>
      </c>
      <c r="H38" s="25" t="s">
        <v>21</v>
      </c>
      <c r="I38" s="24" t="s">
        <v>22</v>
      </c>
      <c r="J38" s="25" t="s">
        <v>24</v>
      </c>
      <c r="K38" s="26">
        <f t="shared" si="1"/>
        <v>12.95</v>
      </c>
      <c r="L38" s="27">
        <v>0.7</v>
      </c>
      <c r="M38" s="28">
        <f t="shared" si="27"/>
        <v>25</v>
      </c>
      <c r="N38" s="34">
        <f t="shared" ref="N38:P38" si="31">N37 + SWITCH($I38,CONCATENATE("+",N$9), 1, CONCATENATE("-",N$9), -1, 0)*$K38 + SWITCH($J38,CONCATENATE("+",N$9), 1, CONCATENATE("-",N$9), -1, 0)*SWITCH(MOD($A38-$M38,2),1,1,0,-1)*$L38</f>
        <v>84.57</v>
      </c>
      <c r="O38" s="26">
        <f t="shared" si="31"/>
        <v>0</v>
      </c>
      <c r="P38" s="35">
        <f t="shared" si="31"/>
        <v>45.43</v>
      </c>
      <c r="Q38" s="32">
        <v>1.120003E8</v>
      </c>
    </row>
    <row r="39">
      <c r="A39" s="33">
        <f t="shared" si="4"/>
        <v>30</v>
      </c>
      <c r="B39" s="24" t="s">
        <v>16</v>
      </c>
      <c r="C39" s="24">
        <v>156.0</v>
      </c>
      <c r="D39" s="24">
        <v>16.0</v>
      </c>
      <c r="E39" s="24">
        <v>0.635</v>
      </c>
      <c r="F39" s="24">
        <v>3.0</v>
      </c>
      <c r="G39" s="24" t="s">
        <v>23</v>
      </c>
      <c r="H39" s="25" t="s">
        <v>21</v>
      </c>
      <c r="I39" s="24" t="s">
        <v>22</v>
      </c>
      <c r="J39" s="25" t="s">
        <v>24</v>
      </c>
      <c r="K39" s="26">
        <f t="shared" si="1"/>
        <v>12.95</v>
      </c>
      <c r="L39" s="27">
        <v>0.700000000000001</v>
      </c>
      <c r="M39" s="28">
        <f t="shared" si="27"/>
        <v>25</v>
      </c>
      <c r="N39" s="34">
        <f t="shared" ref="N39:P39" si="32">N38 + SWITCH($I39,CONCATENATE("+",N$9), 1, CONCATENATE("-",N$9), -1, 0)*$K39 + SWITCH($J39,CONCATENATE("+",N$9), 1, CONCATENATE("-",N$9), -1, 0)*SWITCH(MOD($A39-$M39,2),1,1,0,-1)*$L39</f>
        <v>85.27</v>
      </c>
      <c r="O39" s="26">
        <f t="shared" si="32"/>
        <v>0</v>
      </c>
      <c r="P39" s="35">
        <f t="shared" si="32"/>
        <v>32.48</v>
      </c>
      <c r="Q39" s="32">
        <v>1.120002E8</v>
      </c>
    </row>
    <row r="40">
      <c r="A40" s="33">
        <f t="shared" si="4"/>
        <v>31</v>
      </c>
      <c r="B40" s="24" t="s">
        <v>16</v>
      </c>
      <c r="C40" s="24">
        <v>156.0</v>
      </c>
      <c r="D40" s="24">
        <v>16.0</v>
      </c>
      <c r="E40" s="24">
        <v>0.635</v>
      </c>
      <c r="F40" s="24">
        <v>3.0</v>
      </c>
      <c r="G40" s="24" t="s">
        <v>23</v>
      </c>
      <c r="H40" s="25" t="s">
        <v>21</v>
      </c>
      <c r="I40" s="24" t="s">
        <v>22</v>
      </c>
      <c r="J40" s="25" t="s">
        <v>24</v>
      </c>
      <c r="K40" s="26">
        <f t="shared" si="1"/>
        <v>12.95</v>
      </c>
      <c r="L40" s="27">
        <v>0.700000000000001</v>
      </c>
      <c r="M40" s="28">
        <f t="shared" si="27"/>
        <v>25</v>
      </c>
      <c r="N40" s="34">
        <f t="shared" ref="N40:P40" si="33">N39 + SWITCH($I40,CONCATENATE("+",N$9), 1, CONCATENATE("-",N$9), -1, 0)*$K40 + SWITCH($J40,CONCATENATE("+",N$9), 1, CONCATENATE("-",N$9), -1, 0)*SWITCH(MOD($A40-$M40,2),1,1,0,-1)*$L40</f>
        <v>84.57</v>
      </c>
      <c r="O40" s="26">
        <f t="shared" si="33"/>
        <v>0</v>
      </c>
      <c r="P40" s="35">
        <f t="shared" si="33"/>
        <v>19.53</v>
      </c>
      <c r="Q40" s="32">
        <v>1.120001E8</v>
      </c>
    </row>
    <row r="41">
      <c r="A41" s="33">
        <f t="shared" si="4"/>
        <v>32</v>
      </c>
      <c r="B41" s="24" t="s">
        <v>16</v>
      </c>
      <c r="C41" s="39">
        <v>151.0</v>
      </c>
      <c r="D41" s="39">
        <v>14.5</v>
      </c>
      <c r="E41" s="24">
        <v>0.635</v>
      </c>
      <c r="F41" s="24">
        <v>3.0</v>
      </c>
      <c r="G41" s="24" t="s">
        <v>23</v>
      </c>
      <c r="H41" s="25" t="s">
        <v>21</v>
      </c>
      <c r="I41" s="24" t="s">
        <v>22</v>
      </c>
      <c r="J41" s="25" t="s">
        <v>24</v>
      </c>
      <c r="K41" s="26">
        <f t="shared" si="1"/>
        <v>12.95</v>
      </c>
      <c r="L41" s="27">
        <v>0.700000000000001</v>
      </c>
      <c r="M41" s="28">
        <f t="shared" si="27"/>
        <v>25</v>
      </c>
      <c r="N41" s="34">
        <f t="shared" ref="N41:O41" si="34">N40 + SWITCH($I41,CONCATENATE("+",N$9), 1, CONCATENATE("-",N$9), -1, 0)*$K41 + SWITCH($J41,CONCATENATE("+",N$9), 1, CONCATENATE("-",N$9), -1, 0)*SWITCH(MOD($A41-$M41,2),1,1,0,-1)*$L41</f>
        <v>85.27</v>
      </c>
      <c r="O41" s="26">
        <f t="shared" si="34"/>
        <v>0</v>
      </c>
      <c r="P41" s="40">
        <f>P40 + SWITCH($I41,CONCATENATE("+",P$9), 1, CONCATENATE("-",P$9), -1, 0)*$K41 + SWITCH($J41,CONCATENATE("+",P$9), 1, CONCATENATE("-",P$9), -1, 0)*SWITCH(MOD($A41-$M41,2),1,1,0,-1)*$L41+1.5</f>
        <v>8.08</v>
      </c>
      <c r="Q41" s="32">
        <v>1.12E8</v>
      </c>
    </row>
    <row r="42">
      <c r="A42" s="36">
        <f t="shared" si="4"/>
        <v>33</v>
      </c>
      <c r="B42" s="24" t="s">
        <v>16</v>
      </c>
      <c r="C42" s="24">
        <v>156.0</v>
      </c>
      <c r="D42" s="24">
        <v>16.0</v>
      </c>
      <c r="E42" s="24">
        <v>0.635</v>
      </c>
      <c r="F42" s="24">
        <v>4.0</v>
      </c>
      <c r="G42" s="24" t="s">
        <v>23</v>
      </c>
      <c r="H42" s="24" t="s">
        <v>19</v>
      </c>
      <c r="I42" s="24" t="s">
        <v>22</v>
      </c>
      <c r="J42" s="25" t="s">
        <v>21</v>
      </c>
      <c r="K42" s="26">
        <f t="shared" si="1"/>
        <v>12.95</v>
      </c>
      <c r="L42" s="27">
        <v>0.700000000000001</v>
      </c>
      <c r="M42" s="28">
        <f t="shared" ref="M42:M49" si="35">$A$42</f>
        <v>33</v>
      </c>
      <c r="N42" s="37">
        <v>0.0</v>
      </c>
      <c r="O42" s="27">
        <v>84.57</v>
      </c>
      <c r="P42" s="38">
        <v>97.23</v>
      </c>
      <c r="Q42" s="32">
        <v>1.140007E8</v>
      </c>
    </row>
    <row r="43">
      <c r="A43" s="33">
        <f t="shared" si="4"/>
        <v>34</v>
      </c>
      <c r="B43" s="24" t="s">
        <v>16</v>
      </c>
      <c r="C43" s="24">
        <v>156.0</v>
      </c>
      <c r="D43" s="24">
        <v>16.0</v>
      </c>
      <c r="E43" s="24">
        <v>0.635</v>
      </c>
      <c r="F43" s="24">
        <v>4.0</v>
      </c>
      <c r="G43" s="24" t="s">
        <v>23</v>
      </c>
      <c r="H43" s="24" t="s">
        <v>19</v>
      </c>
      <c r="I43" s="24" t="s">
        <v>22</v>
      </c>
      <c r="J43" s="25" t="s">
        <v>21</v>
      </c>
      <c r="K43" s="26">
        <f t="shared" si="1"/>
        <v>12.95</v>
      </c>
      <c r="L43" s="27">
        <v>0.700000000000001</v>
      </c>
      <c r="M43" s="28">
        <f t="shared" si="35"/>
        <v>33</v>
      </c>
      <c r="N43" s="34">
        <f t="shared" ref="N43:P43" si="36">N42 + SWITCH($I43,CONCATENATE("+",N$9), 1, CONCATENATE("-",N$9), -1, 0)*$K43 + SWITCH($J43,CONCATENATE("+",N$9), 1, CONCATENATE("-",N$9), -1, 0)*SWITCH(MOD($A43-$M43,2),1,1,0,-1)*$L43</f>
        <v>0</v>
      </c>
      <c r="O43" s="26">
        <f t="shared" si="36"/>
        <v>85.27</v>
      </c>
      <c r="P43" s="35">
        <f t="shared" si="36"/>
        <v>84.28</v>
      </c>
      <c r="Q43" s="32">
        <v>1.140006E8</v>
      </c>
    </row>
    <row r="44">
      <c r="A44" s="33">
        <f t="shared" si="4"/>
        <v>35</v>
      </c>
      <c r="B44" s="24" t="s">
        <v>16</v>
      </c>
      <c r="C44" s="24">
        <v>156.0</v>
      </c>
      <c r="D44" s="24">
        <v>16.0</v>
      </c>
      <c r="E44" s="24">
        <v>0.635</v>
      </c>
      <c r="F44" s="24">
        <v>4.0</v>
      </c>
      <c r="G44" s="24" t="s">
        <v>23</v>
      </c>
      <c r="H44" s="24" t="s">
        <v>19</v>
      </c>
      <c r="I44" s="24" t="s">
        <v>22</v>
      </c>
      <c r="J44" s="25" t="s">
        <v>21</v>
      </c>
      <c r="K44" s="26">
        <f t="shared" si="1"/>
        <v>12.95</v>
      </c>
      <c r="L44" s="27">
        <v>0.700000000000001</v>
      </c>
      <c r="M44" s="28">
        <f t="shared" si="35"/>
        <v>33</v>
      </c>
      <c r="N44" s="34">
        <f t="shared" ref="N44:P44" si="37">N43 + SWITCH($I44,CONCATENATE("+",N$9), 1, CONCATENATE("-",N$9), -1, 0)*$K44 + SWITCH($J44,CONCATENATE("+",N$9), 1, CONCATENATE("-",N$9), -1, 0)*SWITCH(MOD($A44-$M44,2),1,1,0,-1)*$L44</f>
        <v>0</v>
      </c>
      <c r="O44" s="26">
        <f t="shared" si="37"/>
        <v>84.57</v>
      </c>
      <c r="P44" s="35">
        <f t="shared" si="37"/>
        <v>71.33</v>
      </c>
      <c r="Q44" s="32">
        <v>1.140005E8</v>
      </c>
    </row>
    <row r="45">
      <c r="A45" s="33">
        <f t="shared" si="4"/>
        <v>36</v>
      </c>
      <c r="B45" s="24" t="s">
        <v>16</v>
      </c>
      <c r="C45" s="24">
        <v>156.0</v>
      </c>
      <c r="D45" s="24">
        <v>16.0</v>
      </c>
      <c r="E45" s="24">
        <v>0.635</v>
      </c>
      <c r="F45" s="24">
        <v>4.0</v>
      </c>
      <c r="G45" s="24" t="s">
        <v>23</v>
      </c>
      <c r="H45" s="24" t="s">
        <v>19</v>
      </c>
      <c r="I45" s="24" t="s">
        <v>22</v>
      </c>
      <c r="J45" s="25" t="s">
        <v>21</v>
      </c>
      <c r="K45" s="26">
        <f t="shared" si="1"/>
        <v>12.95</v>
      </c>
      <c r="L45" s="27">
        <v>0.700000000000001</v>
      </c>
      <c r="M45" s="28">
        <f t="shared" si="35"/>
        <v>33</v>
      </c>
      <c r="N45" s="34">
        <f t="shared" ref="N45:P45" si="38">N44 + SWITCH($I45,CONCATENATE("+",N$9), 1, CONCATENATE("-",N$9), -1, 0)*$K45 + SWITCH($J45,CONCATENATE("+",N$9), 1, CONCATENATE("-",N$9), -1, 0)*SWITCH(MOD($A45-$M45,2),1,1,0,-1)*$L45</f>
        <v>0</v>
      </c>
      <c r="O45" s="26">
        <f t="shared" si="38"/>
        <v>85.27</v>
      </c>
      <c r="P45" s="35">
        <f t="shared" si="38"/>
        <v>58.38</v>
      </c>
      <c r="Q45" s="32">
        <v>1.140004E8</v>
      </c>
    </row>
    <row r="46">
      <c r="A46" s="33">
        <f t="shared" si="4"/>
        <v>37</v>
      </c>
      <c r="B46" s="24" t="s">
        <v>16</v>
      </c>
      <c r="C46" s="24">
        <v>156.0</v>
      </c>
      <c r="D46" s="24">
        <v>16.0</v>
      </c>
      <c r="E46" s="24">
        <v>0.635</v>
      </c>
      <c r="F46" s="24">
        <v>4.0</v>
      </c>
      <c r="G46" s="24" t="s">
        <v>23</v>
      </c>
      <c r="H46" s="24" t="s">
        <v>19</v>
      </c>
      <c r="I46" s="24" t="s">
        <v>22</v>
      </c>
      <c r="J46" s="25" t="s">
        <v>21</v>
      </c>
      <c r="K46" s="26">
        <f t="shared" si="1"/>
        <v>12.95</v>
      </c>
      <c r="L46" s="27">
        <v>0.700000000000001</v>
      </c>
      <c r="M46" s="28">
        <f t="shared" si="35"/>
        <v>33</v>
      </c>
      <c r="N46" s="34">
        <f t="shared" ref="N46:P46" si="39">N45 + SWITCH($I46,CONCATENATE("+",N$9), 1, CONCATENATE("-",N$9), -1, 0)*$K46 + SWITCH($J46,CONCATENATE("+",N$9), 1, CONCATENATE("-",N$9), -1, 0)*SWITCH(MOD($A46-$M46,2),1,1,0,-1)*$L46</f>
        <v>0</v>
      </c>
      <c r="O46" s="26">
        <f t="shared" si="39"/>
        <v>84.57</v>
      </c>
      <c r="P46" s="35">
        <f t="shared" si="39"/>
        <v>45.43</v>
      </c>
      <c r="Q46" s="32">
        <v>1.140003E8</v>
      </c>
    </row>
    <row r="47">
      <c r="A47" s="33">
        <f t="shared" si="4"/>
        <v>38</v>
      </c>
      <c r="B47" s="24" t="s">
        <v>16</v>
      </c>
      <c r="C47" s="24">
        <v>156.0</v>
      </c>
      <c r="D47" s="24">
        <v>16.0</v>
      </c>
      <c r="E47" s="24">
        <v>0.635</v>
      </c>
      <c r="F47" s="24">
        <v>4.0</v>
      </c>
      <c r="G47" s="24" t="s">
        <v>23</v>
      </c>
      <c r="H47" s="24" t="s">
        <v>19</v>
      </c>
      <c r="I47" s="24" t="s">
        <v>22</v>
      </c>
      <c r="J47" s="25" t="s">
        <v>21</v>
      </c>
      <c r="K47" s="26">
        <f t="shared" si="1"/>
        <v>12.95</v>
      </c>
      <c r="L47" s="27">
        <v>0.700000000000001</v>
      </c>
      <c r="M47" s="28">
        <f t="shared" si="35"/>
        <v>33</v>
      </c>
      <c r="N47" s="34">
        <f t="shared" ref="N47:P47" si="40">N46 + SWITCH($I47,CONCATENATE("+",N$9), 1, CONCATENATE("-",N$9), -1, 0)*$K47 + SWITCH($J47,CONCATENATE("+",N$9), 1, CONCATENATE("-",N$9), -1, 0)*SWITCH(MOD($A47-$M47,2),1,1,0,-1)*$L47</f>
        <v>0</v>
      </c>
      <c r="O47" s="26">
        <f t="shared" si="40"/>
        <v>85.27</v>
      </c>
      <c r="P47" s="35">
        <f t="shared" si="40"/>
        <v>32.48</v>
      </c>
      <c r="Q47" s="32">
        <v>1.140002E8</v>
      </c>
    </row>
    <row r="48">
      <c r="A48" s="33">
        <f t="shared" si="4"/>
        <v>39</v>
      </c>
      <c r="B48" s="24" t="s">
        <v>16</v>
      </c>
      <c r="C48" s="24">
        <v>156.0</v>
      </c>
      <c r="D48" s="24">
        <v>16.0</v>
      </c>
      <c r="E48" s="24">
        <v>0.635</v>
      </c>
      <c r="F48" s="24">
        <v>4.0</v>
      </c>
      <c r="G48" s="24" t="s">
        <v>23</v>
      </c>
      <c r="H48" s="24" t="s">
        <v>19</v>
      </c>
      <c r="I48" s="24" t="s">
        <v>22</v>
      </c>
      <c r="J48" s="25" t="s">
        <v>21</v>
      </c>
      <c r="K48" s="26">
        <f t="shared" si="1"/>
        <v>12.95</v>
      </c>
      <c r="L48" s="27">
        <v>0.700000000000001</v>
      </c>
      <c r="M48" s="28">
        <f t="shared" si="35"/>
        <v>33</v>
      </c>
      <c r="N48" s="34">
        <f t="shared" ref="N48:P48" si="41">N47 + SWITCH($I48,CONCATENATE("+",N$9), 1, CONCATENATE("-",N$9), -1, 0)*$K48 + SWITCH($J48,CONCATENATE("+",N$9), 1, CONCATENATE("-",N$9), -1, 0)*SWITCH(MOD($A48-$M48,2),1,1,0,-1)*$L48</f>
        <v>0</v>
      </c>
      <c r="O48" s="26">
        <f t="shared" si="41"/>
        <v>84.57</v>
      </c>
      <c r="P48" s="35">
        <f t="shared" si="41"/>
        <v>19.53</v>
      </c>
      <c r="Q48" s="32">
        <v>1.140001E8</v>
      </c>
    </row>
    <row r="49">
      <c r="A49" s="33">
        <f t="shared" si="4"/>
        <v>40</v>
      </c>
      <c r="B49" s="24" t="s">
        <v>16</v>
      </c>
      <c r="C49" s="24">
        <v>156.0</v>
      </c>
      <c r="D49" s="24">
        <v>16.0</v>
      </c>
      <c r="E49" s="24">
        <v>0.635</v>
      </c>
      <c r="F49" s="24">
        <v>4.0</v>
      </c>
      <c r="G49" s="24" t="s">
        <v>23</v>
      </c>
      <c r="H49" s="24" t="s">
        <v>19</v>
      </c>
      <c r="I49" s="24" t="s">
        <v>22</v>
      </c>
      <c r="J49" s="25" t="s">
        <v>21</v>
      </c>
      <c r="K49" s="26">
        <f t="shared" si="1"/>
        <v>12.95</v>
      </c>
      <c r="L49" s="27">
        <v>0.700000000000001</v>
      </c>
      <c r="M49" s="28">
        <f t="shared" si="35"/>
        <v>33</v>
      </c>
      <c r="N49" s="34">
        <f t="shared" ref="N49:P49" si="42">N48 + SWITCH($I49,CONCATENATE("+",N$9), 1, CONCATENATE("-",N$9), -1, 0)*$K49 + SWITCH($J49,CONCATENATE("+",N$9), 1, CONCATENATE("-",N$9), -1, 0)*SWITCH(MOD($A49-$M49,2),1,1,0,-1)*$L49</f>
        <v>0</v>
      </c>
      <c r="O49" s="26">
        <f t="shared" si="42"/>
        <v>85.27</v>
      </c>
      <c r="P49" s="35">
        <f t="shared" si="42"/>
        <v>6.58</v>
      </c>
      <c r="Q49" s="32">
        <v>1.14E8</v>
      </c>
    </row>
    <row r="50">
      <c r="A50" s="36">
        <f t="shared" si="4"/>
        <v>41</v>
      </c>
      <c r="B50" s="24" t="s">
        <v>16</v>
      </c>
      <c r="C50" s="24">
        <v>156.0</v>
      </c>
      <c r="D50" s="24">
        <v>16.0</v>
      </c>
      <c r="E50" s="24">
        <v>0.635</v>
      </c>
      <c r="F50" s="24">
        <v>5.0</v>
      </c>
      <c r="G50" s="24" t="s">
        <v>23</v>
      </c>
      <c r="H50" s="24" t="s">
        <v>18</v>
      </c>
      <c r="I50" s="24" t="s">
        <v>22</v>
      </c>
      <c r="J50" s="24" t="s">
        <v>19</v>
      </c>
      <c r="K50" s="26">
        <f t="shared" si="1"/>
        <v>12.95</v>
      </c>
      <c r="L50" s="27">
        <v>0.700000000000001</v>
      </c>
      <c r="M50" s="28">
        <f t="shared" ref="M50:M57" si="43">$A$50</f>
        <v>41</v>
      </c>
      <c r="N50" s="37">
        <v>-83.56</v>
      </c>
      <c r="O50" s="27">
        <v>0.0</v>
      </c>
      <c r="P50" s="38">
        <v>97.23</v>
      </c>
      <c r="Q50" s="32">
        <v>1.130007E8</v>
      </c>
    </row>
    <row r="51">
      <c r="A51" s="33">
        <f t="shared" si="4"/>
        <v>42</v>
      </c>
      <c r="B51" s="24" t="s">
        <v>16</v>
      </c>
      <c r="C51" s="24">
        <v>156.0</v>
      </c>
      <c r="D51" s="24">
        <v>16.0</v>
      </c>
      <c r="E51" s="24">
        <v>0.635</v>
      </c>
      <c r="F51" s="24">
        <v>5.0</v>
      </c>
      <c r="G51" s="24" t="s">
        <v>23</v>
      </c>
      <c r="H51" s="24" t="s">
        <v>18</v>
      </c>
      <c r="I51" s="24" t="s">
        <v>22</v>
      </c>
      <c r="J51" s="24" t="s">
        <v>19</v>
      </c>
      <c r="K51" s="26">
        <f t="shared" si="1"/>
        <v>12.95</v>
      </c>
      <c r="L51" s="27">
        <v>0.700000000000001</v>
      </c>
      <c r="M51" s="28">
        <f t="shared" si="43"/>
        <v>41</v>
      </c>
      <c r="N51" s="34">
        <f t="shared" ref="N51:P51" si="44">N50 + SWITCH($I51,CONCATENATE("+",N$9), 1, CONCATENATE("-",N$9), -1, 0)*$K51 + SWITCH($J51,CONCATENATE("+",N$9), 1, CONCATENATE("-",N$9), -1, 0)*SWITCH(MOD($A51-$M51,2),1,1,0,-1)*$L51</f>
        <v>-84.26</v>
      </c>
      <c r="O51" s="26">
        <f t="shared" si="44"/>
        <v>0</v>
      </c>
      <c r="P51" s="35">
        <f t="shared" si="44"/>
        <v>84.28</v>
      </c>
      <c r="Q51" s="32">
        <v>1.130006E8</v>
      </c>
    </row>
    <row r="52">
      <c r="A52" s="33">
        <f t="shared" si="4"/>
        <v>43</v>
      </c>
      <c r="B52" s="24" t="s">
        <v>16</v>
      </c>
      <c r="C52" s="24">
        <v>156.0</v>
      </c>
      <c r="D52" s="24">
        <v>16.0</v>
      </c>
      <c r="E52" s="24">
        <v>0.635</v>
      </c>
      <c r="F52" s="24">
        <v>5.0</v>
      </c>
      <c r="G52" s="24" t="s">
        <v>23</v>
      </c>
      <c r="H52" s="24" t="s">
        <v>18</v>
      </c>
      <c r="I52" s="24" t="s">
        <v>22</v>
      </c>
      <c r="J52" s="24" t="s">
        <v>19</v>
      </c>
      <c r="K52" s="26">
        <f t="shared" si="1"/>
        <v>12.95</v>
      </c>
      <c r="L52" s="27">
        <v>0.700000000000001</v>
      </c>
      <c r="M52" s="28">
        <f t="shared" si="43"/>
        <v>41</v>
      </c>
      <c r="N52" s="34">
        <f t="shared" ref="N52:P52" si="45">N51 + SWITCH($I52,CONCATENATE("+",N$9), 1, CONCATENATE("-",N$9), -1, 0)*$K52 + SWITCH($J52,CONCATENATE("+",N$9), 1, CONCATENATE("-",N$9), -1, 0)*SWITCH(MOD($A52-$M52,2),1,1,0,-1)*$L52</f>
        <v>-83.56</v>
      </c>
      <c r="O52" s="26">
        <f t="shared" si="45"/>
        <v>0</v>
      </c>
      <c r="P52" s="35">
        <f t="shared" si="45"/>
        <v>71.33</v>
      </c>
      <c r="Q52" s="32">
        <v>1.130005E8</v>
      </c>
    </row>
    <row r="53">
      <c r="A53" s="33">
        <f t="shared" si="4"/>
        <v>44</v>
      </c>
      <c r="B53" s="24" t="s">
        <v>16</v>
      </c>
      <c r="C53" s="24">
        <v>156.0</v>
      </c>
      <c r="D53" s="24">
        <v>16.0</v>
      </c>
      <c r="E53" s="24">
        <v>0.635</v>
      </c>
      <c r="F53" s="24">
        <v>5.0</v>
      </c>
      <c r="G53" s="24" t="s">
        <v>23</v>
      </c>
      <c r="H53" s="24" t="s">
        <v>18</v>
      </c>
      <c r="I53" s="24" t="s">
        <v>22</v>
      </c>
      <c r="J53" s="24" t="s">
        <v>19</v>
      </c>
      <c r="K53" s="26">
        <f t="shared" si="1"/>
        <v>12.95</v>
      </c>
      <c r="L53" s="27">
        <v>0.700000000000001</v>
      </c>
      <c r="M53" s="28">
        <f t="shared" si="43"/>
        <v>41</v>
      </c>
      <c r="N53" s="34">
        <f t="shared" ref="N53:P53" si="46">N52 + SWITCH($I53,CONCATENATE("+",N$9), 1, CONCATENATE("-",N$9), -1, 0)*$K53 + SWITCH($J53,CONCATENATE("+",N$9), 1, CONCATENATE("-",N$9), -1, 0)*SWITCH(MOD($A53-$M53,2),1,1,0,-1)*$L53</f>
        <v>-84.26</v>
      </c>
      <c r="O53" s="26">
        <f t="shared" si="46"/>
        <v>0</v>
      </c>
      <c r="P53" s="35">
        <f t="shared" si="46"/>
        <v>58.38</v>
      </c>
      <c r="Q53" s="32">
        <v>1.130004E8</v>
      </c>
    </row>
    <row r="54">
      <c r="A54" s="33">
        <f t="shared" si="4"/>
        <v>45</v>
      </c>
      <c r="B54" s="24" t="s">
        <v>16</v>
      </c>
      <c r="C54" s="24">
        <v>156.0</v>
      </c>
      <c r="D54" s="24">
        <v>16.0</v>
      </c>
      <c r="E54" s="24">
        <v>0.635</v>
      </c>
      <c r="F54" s="24">
        <v>5.0</v>
      </c>
      <c r="G54" s="24" t="s">
        <v>23</v>
      </c>
      <c r="H54" s="24" t="s">
        <v>18</v>
      </c>
      <c r="I54" s="24" t="s">
        <v>22</v>
      </c>
      <c r="J54" s="24" t="s">
        <v>19</v>
      </c>
      <c r="K54" s="26">
        <f t="shared" si="1"/>
        <v>12.95</v>
      </c>
      <c r="L54" s="27">
        <v>0.700000000000001</v>
      </c>
      <c r="M54" s="28">
        <f t="shared" si="43"/>
        <v>41</v>
      </c>
      <c r="N54" s="34">
        <f t="shared" ref="N54:P54" si="47">N53 + SWITCH($I54,CONCATENATE("+",N$9), 1, CONCATENATE("-",N$9), -1, 0)*$K54 + SWITCH($J54,CONCATENATE("+",N$9), 1, CONCATENATE("-",N$9), -1, 0)*SWITCH(MOD($A54-$M54,2),1,1,0,-1)*$L54</f>
        <v>-83.56</v>
      </c>
      <c r="O54" s="26">
        <f t="shared" si="47"/>
        <v>0</v>
      </c>
      <c r="P54" s="35">
        <f t="shared" si="47"/>
        <v>45.43</v>
      </c>
      <c r="Q54" s="32">
        <v>1.130003E8</v>
      </c>
    </row>
    <row r="55">
      <c r="A55" s="33">
        <f t="shared" si="4"/>
        <v>46</v>
      </c>
      <c r="B55" s="24" t="s">
        <v>16</v>
      </c>
      <c r="C55" s="24">
        <v>156.0</v>
      </c>
      <c r="D55" s="24">
        <v>16.0</v>
      </c>
      <c r="E55" s="24">
        <v>0.635</v>
      </c>
      <c r="F55" s="24">
        <v>5.0</v>
      </c>
      <c r="G55" s="24" t="s">
        <v>23</v>
      </c>
      <c r="H55" s="24" t="s">
        <v>18</v>
      </c>
      <c r="I55" s="24" t="s">
        <v>22</v>
      </c>
      <c r="J55" s="24" t="s">
        <v>19</v>
      </c>
      <c r="K55" s="26">
        <f t="shared" si="1"/>
        <v>12.95</v>
      </c>
      <c r="L55" s="27">
        <v>0.700000000000001</v>
      </c>
      <c r="M55" s="28">
        <f t="shared" si="43"/>
        <v>41</v>
      </c>
      <c r="N55" s="34">
        <f t="shared" ref="N55:P55" si="48">N54 + SWITCH($I55,CONCATENATE("+",N$9), 1, CONCATENATE("-",N$9), -1, 0)*$K55 + SWITCH($J55,CONCATENATE("+",N$9), 1, CONCATENATE("-",N$9), -1, 0)*SWITCH(MOD($A55-$M55,2),1,1,0,-1)*$L55</f>
        <v>-84.26</v>
      </c>
      <c r="O55" s="26">
        <f t="shared" si="48"/>
        <v>0</v>
      </c>
      <c r="P55" s="35">
        <f t="shared" si="48"/>
        <v>32.48</v>
      </c>
      <c r="Q55" s="32">
        <v>1.130002E8</v>
      </c>
    </row>
    <row r="56">
      <c r="A56" s="33">
        <f t="shared" si="4"/>
        <v>47</v>
      </c>
      <c r="B56" s="24" t="s">
        <v>16</v>
      </c>
      <c r="C56" s="24">
        <v>156.0</v>
      </c>
      <c r="D56" s="24">
        <v>16.0</v>
      </c>
      <c r="E56" s="24">
        <v>0.635</v>
      </c>
      <c r="F56" s="24">
        <v>5.0</v>
      </c>
      <c r="G56" s="24" t="s">
        <v>23</v>
      </c>
      <c r="H56" s="24" t="s">
        <v>18</v>
      </c>
      <c r="I56" s="24" t="s">
        <v>22</v>
      </c>
      <c r="J56" s="24" t="s">
        <v>19</v>
      </c>
      <c r="K56" s="26">
        <f t="shared" si="1"/>
        <v>12.95</v>
      </c>
      <c r="L56" s="27">
        <v>0.700000000000001</v>
      </c>
      <c r="M56" s="28">
        <f t="shared" si="43"/>
        <v>41</v>
      </c>
      <c r="N56" s="34">
        <f t="shared" ref="N56:P56" si="49">N55 + SWITCH($I56,CONCATENATE("+",N$9), 1, CONCATENATE("-",N$9), -1, 0)*$K56 + SWITCH($J56,CONCATENATE("+",N$9), 1, CONCATENATE("-",N$9), -1, 0)*SWITCH(MOD($A56-$M56,2),1,1,0,-1)*$L56</f>
        <v>-83.56</v>
      </c>
      <c r="O56" s="26">
        <f t="shared" si="49"/>
        <v>0</v>
      </c>
      <c r="P56" s="35">
        <f t="shared" si="49"/>
        <v>19.53</v>
      </c>
      <c r="Q56" s="32">
        <v>1.130001E8</v>
      </c>
    </row>
    <row r="57">
      <c r="A57" s="33">
        <f t="shared" si="4"/>
        <v>48</v>
      </c>
      <c r="B57" s="24" t="s">
        <v>16</v>
      </c>
      <c r="C57" s="39">
        <v>151.0</v>
      </c>
      <c r="D57" s="39">
        <v>14.5</v>
      </c>
      <c r="E57" s="24">
        <v>0.635</v>
      </c>
      <c r="F57" s="24">
        <v>5.0</v>
      </c>
      <c r="G57" s="24" t="s">
        <v>23</v>
      </c>
      <c r="H57" s="24" t="s">
        <v>18</v>
      </c>
      <c r="I57" s="24" t="s">
        <v>22</v>
      </c>
      <c r="J57" s="24" t="s">
        <v>19</v>
      </c>
      <c r="K57" s="26">
        <f t="shared" si="1"/>
        <v>12.95</v>
      </c>
      <c r="L57" s="27">
        <v>0.700000000000002</v>
      </c>
      <c r="M57" s="28">
        <f t="shared" si="43"/>
        <v>41</v>
      </c>
      <c r="N57" s="34">
        <f t="shared" ref="N57:O57" si="50">N56 + SWITCH($I57,CONCATENATE("+",N$9), 1, CONCATENATE("-",N$9), -1, 0)*$K57 + SWITCH($J57,CONCATENATE("+",N$9), 1, CONCATENATE("-",N$9), -1, 0)*SWITCH(MOD($A57-$M57,2),1,1,0,-1)*$L57</f>
        <v>-84.26</v>
      </c>
      <c r="O57" s="26">
        <f t="shared" si="50"/>
        <v>0</v>
      </c>
      <c r="P57" s="40">
        <f>P56 + SWITCH($I57,CONCATENATE("+",P$9), 1, CONCATENATE("-",P$9), -1, 0)*$K57 + SWITCH($J57,CONCATENATE("+",P$9), 1, CONCATENATE("-",P$9), -1, 0)*SWITCH(MOD($A57-$M57,2),1,1,0,-1)*$L57+1.5</f>
        <v>8.08</v>
      </c>
      <c r="Q57" s="32">
        <v>1.13E8</v>
      </c>
    </row>
    <row r="58">
      <c r="A58" s="36">
        <f t="shared" si="4"/>
        <v>49</v>
      </c>
      <c r="B58" s="24" t="s">
        <v>16</v>
      </c>
      <c r="C58" s="24">
        <v>156.0</v>
      </c>
      <c r="D58" s="24">
        <v>16.0</v>
      </c>
      <c r="E58" s="24">
        <v>0.635</v>
      </c>
      <c r="F58" s="24">
        <v>6.0</v>
      </c>
      <c r="G58" s="24" t="s">
        <v>23</v>
      </c>
      <c r="H58" s="25" t="s">
        <v>24</v>
      </c>
      <c r="I58" s="24" t="s">
        <v>22</v>
      </c>
      <c r="J58" s="24" t="s">
        <v>18</v>
      </c>
      <c r="K58" s="26">
        <f t="shared" si="1"/>
        <v>12.95</v>
      </c>
      <c r="L58" s="27">
        <v>0.700000000000002</v>
      </c>
      <c r="M58" s="28">
        <f t="shared" ref="M58:M65" si="51">$A$58</f>
        <v>49</v>
      </c>
      <c r="N58" s="37">
        <v>0.0</v>
      </c>
      <c r="O58" s="27">
        <v>-83.56</v>
      </c>
      <c r="P58" s="38">
        <v>97.23</v>
      </c>
      <c r="Q58" s="32">
        <v>1.15E8</v>
      </c>
    </row>
    <row r="59">
      <c r="A59" s="33">
        <f t="shared" si="4"/>
        <v>50</v>
      </c>
      <c r="B59" s="24" t="s">
        <v>16</v>
      </c>
      <c r="C59" s="24">
        <v>156.0</v>
      </c>
      <c r="D59" s="24">
        <v>16.0</v>
      </c>
      <c r="E59" s="24">
        <v>0.635</v>
      </c>
      <c r="F59" s="24">
        <v>6.0</v>
      </c>
      <c r="G59" s="24" t="s">
        <v>23</v>
      </c>
      <c r="H59" s="25" t="s">
        <v>24</v>
      </c>
      <c r="I59" s="24" t="s">
        <v>22</v>
      </c>
      <c r="J59" s="24" t="s">
        <v>18</v>
      </c>
      <c r="K59" s="26">
        <f t="shared" si="1"/>
        <v>12.95</v>
      </c>
      <c r="L59" s="27">
        <v>0.700000000000002</v>
      </c>
      <c r="M59" s="28">
        <f t="shared" si="51"/>
        <v>49</v>
      </c>
      <c r="N59" s="34">
        <f t="shared" ref="N59:P59" si="52">N58 + SWITCH($I59,CONCATENATE("+",N$9), 1, CONCATENATE("-",N$9), -1, 0)*$K59 + SWITCH($J59,CONCATENATE("+",N$9), 1, CONCATENATE("-",N$9), -1, 0)*SWITCH(MOD($A59-$M59,2),1,1,0,-1)*$L59</f>
        <v>0</v>
      </c>
      <c r="O59" s="26">
        <f t="shared" si="52"/>
        <v>-84.26</v>
      </c>
      <c r="P59" s="35">
        <f t="shared" si="52"/>
        <v>84.28</v>
      </c>
      <c r="Q59" s="32">
        <v>1.150001E8</v>
      </c>
    </row>
    <row r="60">
      <c r="A60" s="33">
        <f t="shared" si="4"/>
        <v>51</v>
      </c>
      <c r="B60" s="24" t="s">
        <v>16</v>
      </c>
      <c r="C60" s="24">
        <v>156.0</v>
      </c>
      <c r="D60" s="24">
        <v>16.0</v>
      </c>
      <c r="E60" s="24">
        <v>0.635</v>
      </c>
      <c r="F60" s="24">
        <v>6.0</v>
      </c>
      <c r="G60" s="24" t="s">
        <v>23</v>
      </c>
      <c r="H60" s="25" t="s">
        <v>24</v>
      </c>
      <c r="I60" s="24" t="s">
        <v>22</v>
      </c>
      <c r="J60" s="24" t="s">
        <v>18</v>
      </c>
      <c r="K60" s="26">
        <f t="shared" si="1"/>
        <v>12.95</v>
      </c>
      <c r="L60" s="27">
        <v>0.700000000000002</v>
      </c>
      <c r="M60" s="28">
        <f t="shared" si="51"/>
        <v>49</v>
      </c>
      <c r="N60" s="34">
        <f t="shared" ref="N60:P60" si="53">N59 + SWITCH($I60,CONCATENATE("+",N$9), 1, CONCATENATE("-",N$9), -1, 0)*$K60 + SWITCH($J60,CONCATENATE("+",N$9), 1, CONCATENATE("-",N$9), -1, 0)*SWITCH(MOD($A60-$M60,2),1,1,0,-1)*$L60</f>
        <v>0</v>
      </c>
      <c r="O60" s="26">
        <f t="shared" si="53"/>
        <v>-83.56</v>
      </c>
      <c r="P60" s="35">
        <f t="shared" si="53"/>
        <v>71.33</v>
      </c>
      <c r="Q60" s="32">
        <v>1.150002E8</v>
      </c>
    </row>
    <row r="61">
      <c r="A61" s="33">
        <f t="shared" si="4"/>
        <v>52</v>
      </c>
      <c r="B61" s="24" t="s">
        <v>16</v>
      </c>
      <c r="C61" s="24">
        <v>156.0</v>
      </c>
      <c r="D61" s="24">
        <v>16.0</v>
      </c>
      <c r="E61" s="24">
        <v>0.635</v>
      </c>
      <c r="F61" s="24">
        <v>6.0</v>
      </c>
      <c r="G61" s="24" t="s">
        <v>23</v>
      </c>
      <c r="H61" s="25" t="s">
        <v>24</v>
      </c>
      <c r="I61" s="24" t="s">
        <v>22</v>
      </c>
      <c r="J61" s="24" t="s">
        <v>18</v>
      </c>
      <c r="K61" s="26">
        <f t="shared" si="1"/>
        <v>12.95</v>
      </c>
      <c r="L61" s="27">
        <v>0.700000000000002</v>
      </c>
      <c r="M61" s="28">
        <f t="shared" si="51"/>
        <v>49</v>
      </c>
      <c r="N61" s="34">
        <f t="shared" ref="N61:P61" si="54">N60 + SWITCH($I61,CONCATENATE("+",N$9), 1, CONCATENATE("-",N$9), -1, 0)*$K61 + SWITCH($J61,CONCATENATE("+",N$9), 1, CONCATENATE("-",N$9), -1, 0)*SWITCH(MOD($A61-$M61,2),1,1,0,-1)*$L61</f>
        <v>0</v>
      </c>
      <c r="O61" s="26">
        <f t="shared" si="54"/>
        <v>-84.26</v>
      </c>
      <c r="P61" s="35">
        <f t="shared" si="54"/>
        <v>58.38</v>
      </c>
      <c r="Q61" s="32">
        <v>1.150003E8</v>
      </c>
    </row>
    <row r="62">
      <c r="A62" s="33">
        <f t="shared" si="4"/>
        <v>53</v>
      </c>
      <c r="B62" s="24" t="s">
        <v>16</v>
      </c>
      <c r="C62" s="24">
        <v>156.0</v>
      </c>
      <c r="D62" s="24">
        <v>16.0</v>
      </c>
      <c r="E62" s="24">
        <v>0.635</v>
      </c>
      <c r="F62" s="24">
        <v>6.0</v>
      </c>
      <c r="G62" s="24" t="s">
        <v>23</v>
      </c>
      <c r="H62" s="25" t="s">
        <v>24</v>
      </c>
      <c r="I62" s="24" t="s">
        <v>22</v>
      </c>
      <c r="J62" s="24" t="s">
        <v>18</v>
      </c>
      <c r="K62" s="26">
        <f t="shared" si="1"/>
        <v>12.95</v>
      </c>
      <c r="L62" s="27">
        <v>0.700000000000002</v>
      </c>
      <c r="M62" s="28">
        <f t="shared" si="51"/>
        <v>49</v>
      </c>
      <c r="N62" s="34">
        <f t="shared" ref="N62:P62" si="55">N61 + SWITCH($I62,CONCATENATE("+",N$9), 1, CONCATENATE("-",N$9), -1, 0)*$K62 + SWITCH($J62,CONCATENATE("+",N$9), 1, CONCATENATE("-",N$9), -1, 0)*SWITCH(MOD($A62-$M62,2),1,1,0,-1)*$L62</f>
        <v>0</v>
      </c>
      <c r="O62" s="26">
        <f t="shared" si="55"/>
        <v>-83.56</v>
      </c>
      <c r="P62" s="35">
        <f t="shared" si="55"/>
        <v>45.43</v>
      </c>
      <c r="Q62" s="32">
        <v>1.150004E8</v>
      </c>
    </row>
    <row r="63">
      <c r="A63" s="33">
        <f t="shared" si="4"/>
        <v>54</v>
      </c>
      <c r="B63" s="24" t="s">
        <v>16</v>
      </c>
      <c r="C63" s="24">
        <v>156.0</v>
      </c>
      <c r="D63" s="24">
        <v>16.0</v>
      </c>
      <c r="E63" s="24">
        <v>0.635</v>
      </c>
      <c r="F63" s="24">
        <v>6.0</v>
      </c>
      <c r="G63" s="24" t="s">
        <v>23</v>
      </c>
      <c r="H63" s="25" t="s">
        <v>24</v>
      </c>
      <c r="I63" s="24" t="s">
        <v>22</v>
      </c>
      <c r="J63" s="24" t="s">
        <v>18</v>
      </c>
      <c r="K63" s="26">
        <f t="shared" si="1"/>
        <v>12.95</v>
      </c>
      <c r="L63" s="27">
        <v>0.700000000000002</v>
      </c>
      <c r="M63" s="28">
        <f t="shared" si="51"/>
        <v>49</v>
      </c>
      <c r="N63" s="34">
        <f t="shared" ref="N63:P63" si="56">N62 + SWITCH($I63,CONCATENATE("+",N$9), 1, CONCATENATE("-",N$9), -1, 0)*$K63 + SWITCH($J63,CONCATENATE("+",N$9), 1, CONCATENATE("-",N$9), -1, 0)*SWITCH(MOD($A63-$M63,2),1,1,0,-1)*$L63</f>
        <v>0</v>
      </c>
      <c r="O63" s="26">
        <f t="shared" si="56"/>
        <v>-84.26</v>
      </c>
      <c r="P63" s="35">
        <f t="shared" si="56"/>
        <v>32.48</v>
      </c>
      <c r="Q63" s="32">
        <v>1.150005E8</v>
      </c>
    </row>
    <row r="64">
      <c r="A64" s="33">
        <f t="shared" si="4"/>
        <v>55</v>
      </c>
      <c r="B64" s="24" t="s">
        <v>16</v>
      </c>
      <c r="C64" s="24">
        <v>156.0</v>
      </c>
      <c r="D64" s="24">
        <v>16.0</v>
      </c>
      <c r="E64" s="24">
        <v>0.635</v>
      </c>
      <c r="F64" s="24">
        <v>6.0</v>
      </c>
      <c r="G64" s="24" t="s">
        <v>23</v>
      </c>
      <c r="H64" s="25" t="s">
        <v>24</v>
      </c>
      <c r="I64" s="24" t="s">
        <v>22</v>
      </c>
      <c r="J64" s="24" t="s">
        <v>18</v>
      </c>
      <c r="K64" s="26">
        <f t="shared" si="1"/>
        <v>12.95</v>
      </c>
      <c r="L64" s="27">
        <v>0.700000000000002</v>
      </c>
      <c r="M64" s="28">
        <f t="shared" si="51"/>
        <v>49</v>
      </c>
      <c r="N64" s="34">
        <f t="shared" ref="N64:P64" si="57">N63 + SWITCH($I64,CONCATENATE("+",N$9), 1, CONCATENATE("-",N$9), -1, 0)*$K64 + SWITCH($J64,CONCATENATE("+",N$9), 1, CONCATENATE("-",N$9), -1, 0)*SWITCH(MOD($A64-$M64,2),1,1,0,-1)*$L64</f>
        <v>0</v>
      </c>
      <c r="O64" s="26">
        <f t="shared" si="57"/>
        <v>-83.56</v>
      </c>
      <c r="P64" s="35">
        <f t="shared" si="57"/>
        <v>19.53</v>
      </c>
      <c r="Q64" s="32">
        <v>1.150006E8</v>
      </c>
    </row>
    <row r="65">
      <c r="A65" s="33">
        <f t="shared" si="4"/>
        <v>56</v>
      </c>
      <c r="B65" s="24" t="s">
        <v>16</v>
      </c>
      <c r="C65" s="24">
        <v>156.0</v>
      </c>
      <c r="D65" s="24">
        <v>16.0</v>
      </c>
      <c r="E65" s="24">
        <v>0.635</v>
      </c>
      <c r="F65" s="24">
        <v>6.0</v>
      </c>
      <c r="G65" s="24" t="s">
        <v>23</v>
      </c>
      <c r="H65" s="25" t="s">
        <v>24</v>
      </c>
      <c r="I65" s="24" t="s">
        <v>22</v>
      </c>
      <c r="J65" s="24" t="s">
        <v>18</v>
      </c>
      <c r="K65" s="26">
        <f t="shared" si="1"/>
        <v>12.95</v>
      </c>
      <c r="L65" s="27">
        <v>0.700000000000002</v>
      </c>
      <c r="M65" s="28">
        <f t="shared" si="51"/>
        <v>49</v>
      </c>
      <c r="N65" s="34">
        <f t="shared" ref="N65:P65" si="58">N64 + SWITCH($I65,CONCATENATE("+",N$9), 1, CONCATENATE("-",N$9), -1, 0)*$K65 + SWITCH($J65,CONCATENATE("+",N$9), 1, CONCATENATE("-",N$9), -1, 0)*SWITCH(MOD($A65-$M65,2),1,1,0,-1)*$L65</f>
        <v>0</v>
      </c>
      <c r="O65" s="26">
        <f t="shared" si="58"/>
        <v>-84.26</v>
      </c>
      <c r="P65" s="35">
        <f t="shared" si="58"/>
        <v>6.58</v>
      </c>
      <c r="Q65" s="32">
        <v>1.150007E8</v>
      </c>
    </row>
    <row r="66">
      <c r="A66" s="36">
        <f t="shared" si="4"/>
        <v>57</v>
      </c>
      <c r="B66" s="24" t="s">
        <v>16</v>
      </c>
      <c r="C66" s="24">
        <v>108.2</v>
      </c>
      <c r="D66" s="24">
        <v>10.0</v>
      </c>
      <c r="E66" s="24">
        <v>0.635</v>
      </c>
      <c r="F66" s="24" t="s">
        <v>25</v>
      </c>
      <c r="G66" s="24" t="s">
        <v>26</v>
      </c>
      <c r="H66" s="24" t="s">
        <v>22</v>
      </c>
      <c r="I66" s="24"/>
      <c r="J66" s="24" t="s">
        <v>27</v>
      </c>
      <c r="K66" s="26">
        <f t="shared" si="1"/>
        <v>0</v>
      </c>
      <c r="L66" s="27">
        <v>0.700000000000002</v>
      </c>
      <c r="M66" s="28">
        <f>$A$66</f>
        <v>57</v>
      </c>
      <c r="N66" s="37">
        <v>78.37</v>
      </c>
      <c r="O66" s="27">
        <v>78.37</v>
      </c>
      <c r="P66" s="38">
        <v>51.9</v>
      </c>
      <c r="Q66" s="32">
        <v>1.16E8</v>
      </c>
    </row>
    <row r="67">
      <c r="A67" s="36">
        <f t="shared" si="4"/>
        <v>58</v>
      </c>
      <c r="B67" s="24" t="s">
        <v>16</v>
      </c>
      <c r="C67" s="24">
        <v>108.2</v>
      </c>
      <c r="D67" s="24">
        <v>10.0</v>
      </c>
      <c r="E67" s="24">
        <v>0.635</v>
      </c>
      <c r="F67" s="24" t="s">
        <v>25</v>
      </c>
      <c r="G67" s="24" t="s">
        <v>26</v>
      </c>
      <c r="H67" s="24" t="s">
        <v>22</v>
      </c>
      <c r="I67" s="24"/>
      <c r="J67" s="24" t="s">
        <v>28</v>
      </c>
      <c r="K67" s="26">
        <f t="shared" si="1"/>
        <v>0</v>
      </c>
      <c r="L67" s="27">
        <v>0.700000000000002</v>
      </c>
      <c r="M67" s="28">
        <f>$A$67</f>
        <v>58</v>
      </c>
      <c r="N67" s="37">
        <v>-78.37</v>
      </c>
      <c r="O67" s="27">
        <v>78.37</v>
      </c>
      <c r="P67" s="38">
        <v>51.9</v>
      </c>
      <c r="Q67" s="32">
        <v>1.160001E8</v>
      </c>
    </row>
    <row r="68">
      <c r="A68" s="36">
        <f t="shared" si="4"/>
        <v>59</v>
      </c>
      <c r="B68" s="24" t="s">
        <v>16</v>
      </c>
      <c r="C68" s="24">
        <v>108.2</v>
      </c>
      <c r="D68" s="24">
        <v>10.0</v>
      </c>
      <c r="E68" s="24">
        <v>0.635</v>
      </c>
      <c r="F68" s="24" t="s">
        <v>25</v>
      </c>
      <c r="G68" s="24" t="s">
        <v>26</v>
      </c>
      <c r="H68" s="24" t="s">
        <v>22</v>
      </c>
      <c r="I68" s="24"/>
      <c r="J68" s="24" t="s">
        <v>29</v>
      </c>
      <c r="K68" s="26">
        <f t="shared" si="1"/>
        <v>0</v>
      </c>
      <c r="L68" s="27">
        <v>0.700000000000002</v>
      </c>
      <c r="M68" s="28">
        <f>$A$68</f>
        <v>59</v>
      </c>
      <c r="N68" s="37">
        <v>-78.37</v>
      </c>
      <c r="O68" s="27">
        <v>-78.37</v>
      </c>
      <c r="P68" s="38">
        <v>51.9</v>
      </c>
      <c r="Q68" s="32">
        <v>1.160002E8</v>
      </c>
    </row>
    <row r="69">
      <c r="A69" s="36">
        <f t="shared" si="4"/>
        <v>60</v>
      </c>
      <c r="B69" s="24" t="s">
        <v>16</v>
      </c>
      <c r="C69" s="24">
        <v>108.2</v>
      </c>
      <c r="D69" s="24">
        <v>10.0</v>
      </c>
      <c r="E69" s="24">
        <v>0.635</v>
      </c>
      <c r="F69" s="24" t="s">
        <v>25</v>
      </c>
      <c r="G69" s="24" t="s">
        <v>26</v>
      </c>
      <c r="H69" s="24" t="s">
        <v>22</v>
      </c>
      <c r="I69" s="24"/>
      <c r="J69" s="24" t="s">
        <v>30</v>
      </c>
      <c r="K69" s="26">
        <f t="shared" si="1"/>
        <v>0</v>
      </c>
      <c r="L69" s="27">
        <v>0.700000000000002</v>
      </c>
      <c r="M69" s="28">
        <f>$A$69</f>
        <v>60</v>
      </c>
      <c r="N69" s="37">
        <v>78.37</v>
      </c>
      <c r="O69" s="27">
        <v>-78.37</v>
      </c>
      <c r="P69" s="38">
        <v>51.9</v>
      </c>
      <c r="Q69" s="32">
        <v>1.160003E8</v>
      </c>
    </row>
    <row r="70">
      <c r="A70" s="36">
        <f t="shared" si="4"/>
        <v>61</v>
      </c>
      <c r="B70" s="24" t="s">
        <v>31</v>
      </c>
      <c r="C70" s="24">
        <v>180.0</v>
      </c>
      <c r="D70" s="24">
        <v>16.0</v>
      </c>
      <c r="E70" s="24">
        <v>0.635</v>
      </c>
      <c r="F70" s="24">
        <v>7.0</v>
      </c>
      <c r="G70" s="24" t="s">
        <v>17</v>
      </c>
      <c r="H70" s="25" t="s">
        <v>21</v>
      </c>
      <c r="I70" s="24" t="s">
        <v>19</v>
      </c>
      <c r="J70" s="24" t="s">
        <v>22</v>
      </c>
      <c r="K70" s="26">
        <f t="shared" si="1"/>
        <v>14.91</v>
      </c>
      <c r="L70" s="27">
        <v>0.700000000000002</v>
      </c>
      <c r="M70" s="28">
        <f t="shared" ref="M70:M81" si="59">$A$70</f>
        <v>61</v>
      </c>
      <c r="N70" s="37">
        <v>82.0</v>
      </c>
      <c r="O70" s="27">
        <v>0.0</v>
      </c>
      <c r="P70" s="38">
        <v>203.46</v>
      </c>
      <c r="Q70" s="32">
        <v>1.0E8</v>
      </c>
    </row>
    <row r="71">
      <c r="A71" s="33">
        <f t="shared" si="4"/>
        <v>62</v>
      </c>
      <c r="B71" s="24" t="s">
        <v>31</v>
      </c>
      <c r="C71" s="24">
        <v>180.0</v>
      </c>
      <c r="D71" s="24">
        <v>16.0</v>
      </c>
      <c r="E71" s="24">
        <v>0.635</v>
      </c>
      <c r="F71" s="24">
        <v>7.0</v>
      </c>
      <c r="G71" s="24" t="s">
        <v>17</v>
      </c>
      <c r="H71" s="25" t="s">
        <v>21</v>
      </c>
      <c r="I71" s="24" t="s">
        <v>19</v>
      </c>
      <c r="J71" s="24" t="s">
        <v>22</v>
      </c>
      <c r="K71" s="26">
        <f t="shared" si="1"/>
        <v>14.91</v>
      </c>
      <c r="L71" s="27">
        <v>0.700000000000002</v>
      </c>
      <c r="M71" s="28">
        <f t="shared" si="59"/>
        <v>61</v>
      </c>
      <c r="N71" s="34">
        <f t="shared" ref="N71:P71" si="60">N70 + SWITCH($I71,CONCATENATE("+",N$9), 1, CONCATENATE("-",N$9), -1, 0)*$K71 + SWITCH($J71,CONCATENATE("+",N$9), 1, CONCATENATE("-",N$9), -1, 0)*SWITCH(MOD($A71-$M71,2),1,1,0,-1)*$L71</f>
        <v>67.09</v>
      </c>
      <c r="O71" s="26">
        <f t="shared" si="60"/>
        <v>0</v>
      </c>
      <c r="P71" s="35">
        <f t="shared" si="60"/>
        <v>202.76</v>
      </c>
      <c r="Q71" s="32">
        <v>1.000001E8</v>
      </c>
    </row>
    <row r="72">
      <c r="A72" s="33">
        <f t="shared" si="4"/>
        <v>63</v>
      </c>
      <c r="B72" s="24" t="s">
        <v>31</v>
      </c>
      <c r="C72" s="24">
        <v>180.0</v>
      </c>
      <c r="D72" s="24">
        <v>16.0</v>
      </c>
      <c r="E72" s="24">
        <v>0.635</v>
      </c>
      <c r="F72" s="24">
        <v>7.0</v>
      </c>
      <c r="G72" s="24" t="s">
        <v>17</v>
      </c>
      <c r="H72" s="25" t="s">
        <v>21</v>
      </c>
      <c r="I72" s="24" t="s">
        <v>19</v>
      </c>
      <c r="J72" s="24" t="s">
        <v>22</v>
      </c>
      <c r="K72" s="26">
        <f t="shared" si="1"/>
        <v>14.91</v>
      </c>
      <c r="L72" s="27">
        <v>0.700000000000002</v>
      </c>
      <c r="M72" s="28">
        <f t="shared" si="59"/>
        <v>61</v>
      </c>
      <c r="N72" s="34">
        <f t="shared" ref="N72:P72" si="61">N71 + SWITCH($I72,CONCATENATE("+",N$9), 1, CONCATENATE("-",N$9), -1, 0)*$K72 + SWITCH($J72,CONCATENATE("+",N$9), 1, CONCATENATE("-",N$9), -1, 0)*SWITCH(MOD($A72-$M72,2),1,1,0,-1)*$L72</f>
        <v>52.18</v>
      </c>
      <c r="O72" s="26">
        <f t="shared" si="61"/>
        <v>0</v>
      </c>
      <c r="P72" s="35">
        <f t="shared" si="61"/>
        <v>203.46</v>
      </c>
      <c r="Q72" s="32">
        <v>1.000002E8</v>
      </c>
    </row>
    <row r="73">
      <c r="A73" s="33">
        <f t="shared" si="4"/>
        <v>64</v>
      </c>
      <c r="B73" s="24" t="s">
        <v>31</v>
      </c>
      <c r="C73" s="24">
        <v>180.0</v>
      </c>
      <c r="D73" s="24">
        <v>16.0</v>
      </c>
      <c r="E73" s="24">
        <v>0.635</v>
      </c>
      <c r="F73" s="24">
        <v>7.0</v>
      </c>
      <c r="G73" s="24" t="s">
        <v>17</v>
      </c>
      <c r="H73" s="25" t="s">
        <v>21</v>
      </c>
      <c r="I73" s="24" t="s">
        <v>19</v>
      </c>
      <c r="J73" s="24" t="s">
        <v>22</v>
      </c>
      <c r="K73" s="26">
        <f t="shared" si="1"/>
        <v>14.91</v>
      </c>
      <c r="L73" s="27">
        <v>0.700000000000002</v>
      </c>
      <c r="M73" s="28">
        <f t="shared" si="59"/>
        <v>61</v>
      </c>
      <c r="N73" s="34">
        <f t="shared" ref="N73:P73" si="62">N72 + SWITCH($I73,CONCATENATE("+",N$9), 1, CONCATENATE("-",N$9), -1, 0)*$K73 + SWITCH($J73,CONCATENATE("+",N$9), 1, CONCATENATE("-",N$9), -1, 0)*SWITCH(MOD($A73-$M73,2),1,1,0,-1)*$L73</f>
        <v>37.27</v>
      </c>
      <c r="O73" s="26">
        <f t="shared" si="62"/>
        <v>0</v>
      </c>
      <c r="P73" s="35">
        <f t="shared" si="62"/>
        <v>202.76</v>
      </c>
      <c r="Q73" s="32">
        <v>1.000003E8</v>
      </c>
    </row>
    <row r="74">
      <c r="A74" s="33">
        <f t="shared" si="4"/>
        <v>65</v>
      </c>
      <c r="B74" s="24" t="s">
        <v>31</v>
      </c>
      <c r="C74" s="24">
        <v>180.0</v>
      </c>
      <c r="D74" s="24">
        <v>16.0</v>
      </c>
      <c r="E74" s="24">
        <v>0.635</v>
      </c>
      <c r="F74" s="24">
        <v>7.0</v>
      </c>
      <c r="G74" s="24" t="s">
        <v>17</v>
      </c>
      <c r="H74" s="25" t="s">
        <v>21</v>
      </c>
      <c r="I74" s="24" t="s">
        <v>19</v>
      </c>
      <c r="J74" s="24" t="s">
        <v>22</v>
      </c>
      <c r="K74" s="26">
        <f t="shared" si="1"/>
        <v>14.91</v>
      </c>
      <c r="L74" s="27">
        <v>0.700000000000002</v>
      </c>
      <c r="M74" s="28">
        <f t="shared" si="59"/>
        <v>61</v>
      </c>
      <c r="N74" s="34">
        <f t="shared" ref="N74:P74" si="63">N73 + SWITCH($I74,CONCATENATE("+",N$9), 1, CONCATENATE("-",N$9), -1, 0)*$K74 + SWITCH($J74,CONCATENATE("+",N$9), 1, CONCATENATE("-",N$9), -1, 0)*SWITCH(MOD($A74-$M74,2),1,1,0,-1)*$L74</f>
        <v>22.36</v>
      </c>
      <c r="O74" s="26">
        <f t="shared" si="63"/>
        <v>0</v>
      </c>
      <c r="P74" s="35">
        <f t="shared" si="63"/>
        <v>203.46</v>
      </c>
      <c r="Q74" s="32">
        <v>1.000004E8</v>
      </c>
    </row>
    <row r="75">
      <c r="A75" s="33">
        <f t="shared" si="4"/>
        <v>66</v>
      </c>
      <c r="B75" s="24" t="s">
        <v>31</v>
      </c>
      <c r="C75" s="24">
        <v>180.0</v>
      </c>
      <c r="D75" s="24">
        <v>16.0</v>
      </c>
      <c r="E75" s="24">
        <v>0.635</v>
      </c>
      <c r="F75" s="24">
        <v>7.0</v>
      </c>
      <c r="G75" s="24" t="s">
        <v>17</v>
      </c>
      <c r="H75" s="25" t="s">
        <v>21</v>
      </c>
      <c r="I75" s="24" t="s">
        <v>19</v>
      </c>
      <c r="J75" s="24" t="s">
        <v>22</v>
      </c>
      <c r="K75" s="26">
        <f t="shared" si="1"/>
        <v>14.91</v>
      </c>
      <c r="L75" s="27">
        <v>0.700000000000002</v>
      </c>
      <c r="M75" s="28">
        <f t="shared" si="59"/>
        <v>61</v>
      </c>
      <c r="N75" s="34">
        <f t="shared" ref="N75:P75" si="64">N74 + SWITCH($I75,CONCATENATE("+",N$9), 1, CONCATENATE("-",N$9), -1, 0)*$K75 + SWITCH($J75,CONCATENATE("+",N$9), 1, CONCATENATE("-",N$9), -1, 0)*SWITCH(MOD($A75-$M75,2),1,1,0,-1)*$L75</f>
        <v>7.45</v>
      </c>
      <c r="O75" s="26">
        <f t="shared" si="64"/>
        <v>0</v>
      </c>
      <c r="P75" s="35">
        <f t="shared" si="64"/>
        <v>202.76</v>
      </c>
      <c r="Q75" s="32">
        <v>1.000005E8</v>
      </c>
    </row>
    <row r="76">
      <c r="A76" s="33">
        <f t="shared" si="4"/>
        <v>67</v>
      </c>
      <c r="B76" s="24" t="s">
        <v>31</v>
      </c>
      <c r="C76" s="24">
        <v>180.0</v>
      </c>
      <c r="D76" s="24">
        <v>16.0</v>
      </c>
      <c r="E76" s="24">
        <v>0.635</v>
      </c>
      <c r="F76" s="24">
        <v>7.0</v>
      </c>
      <c r="G76" s="24" t="s">
        <v>17</v>
      </c>
      <c r="H76" s="25" t="s">
        <v>21</v>
      </c>
      <c r="I76" s="24" t="s">
        <v>19</v>
      </c>
      <c r="J76" s="24" t="s">
        <v>22</v>
      </c>
      <c r="K76" s="26">
        <f t="shared" si="1"/>
        <v>14.91</v>
      </c>
      <c r="L76" s="27">
        <v>0.700000000000002</v>
      </c>
      <c r="M76" s="28">
        <f t="shared" si="59"/>
        <v>61</v>
      </c>
      <c r="N76" s="34">
        <f t="shared" ref="N76:P76" si="65">N75 + SWITCH($I76,CONCATENATE("+",N$9), 1, CONCATENATE("-",N$9), -1, 0)*$K76 + SWITCH($J76,CONCATENATE("+",N$9), 1, CONCATENATE("-",N$9), -1, 0)*SWITCH(MOD($A76-$M76,2),1,1,0,-1)*$L76</f>
        <v>-7.46</v>
      </c>
      <c r="O76" s="26">
        <f t="shared" si="65"/>
        <v>0</v>
      </c>
      <c r="P76" s="35">
        <f t="shared" si="65"/>
        <v>203.46</v>
      </c>
      <c r="Q76" s="32">
        <v>1.000006E8</v>
      </c>
    </row>
    <row r="77">
      <c r="A77" s="33">
        <f t="shared" si="4"/>
        <v>68</v>
      </c>
      <c r="B77" s="24" t="s">
        <v>31</v>
      </c>
      <c r="C77" s="24">
        <v>180.0</v>
      </c>
      <c r="D77" s="24">
        <v>16.0</v>
      </c>
      <c r="E77" s="24">
        <v>0.635</v>
      </c>
      <c r="F77" s="24">
        <v>7.0</v>
      </c>
      <c r="G77" s="24" t="s">
        <v>17</v>
      </c>
      <c r="H77" s="25" t="s">
        <v>21</v>
      </c>
      <c r="I77" s="24" t="s">
        <v>19</v>
      </c>
      <c r="J77" s="24" t="s">
        <v>22</v>
      </c>
      <c r="K77" s="26">
        <f t="shared" si="1"/>
        <v>14.91</v>
      </c>
      <c r="L77" s="27">
        <v>0.700000000000002</v>
      </c>
      <c r="M77" s="28">
        <f t="shared" si="59"/>
        <v>61</v>
      </c>
      <c r="N77" s="34">
        <f t="shared" ref="N77:P77" si="66">N76 + SWITCH($I77,CONCATENATE("+",N$9), 1, CONCATENATE("-",N$9), -1, 0)*$K77 + SWITCH($J77,CONCATENATE("+",N$9), 1, CONCATENATE("-",N$9), -1, 0)*SWITCH(MOD($A77-$M77,2),1,1,0,-1)*$L77</f>
        <v>-22.37</v>
      </c>
      <c r="O77" s="26">
        <f t="shared" si="66"/>
        <v>0</v>
      </c>
      <c r="P77" s="35">
        <f t="shared" si="66"/>
        <v>202.76</v>
      </c>
      <c r="Q77" s="32">
        <v>1.000007E8</v>
      </c>
    </row>
    <row r="78">
      <c r="A78" s="33">
        <f t="shared" si="4"/>
        <v>69</v>
      </c>
      <c r="B78" s="24" t="s">
        <v>31</v>
      </c>
      <c r="C78" s="24">
        <v>180.0</v>
      </c>
      <c r="D78" s="24">
        <v>16.0</v>
      </c>
      <c r="E78" s="24">
        <v>0.635</v>
      </c>
      <c r="F78" s="24">
        <v>7.0</v>
      </c>
      <c r="G78" s="24" t="s">
        <v>17</v>
      </c>
      <c r="H78" s="25" t="s">
        <v>21</v>
      </c>
      <c r="I78" s="24" t="s">
        <v>19</v>
      </c>
      <c r="J78" s="24" t="s">
        <v>22</v>
      </c>
      <c r="K78" s="26">
        <f t="shared" si="1"/>
        <v>14.91</v>
      </c>
      <c r="L78" s="27">
        <v>0.700000000000002</v>
      </c>
      <c r="M78" s="28">
        <f t="shared" si="59"/>
        <v>61</v>
      </c>
      <c r="N78" s="34">
        <f t="shared" ref="N78:P78" si="67">N77 + SWITCH($I78,CONCATENATE("+",N$9), 1, CONCATENATE("-",N$9), -1, 0)*$K78 + SWITCH($J78,CONCATENATE("+",N$9), 1, CONCATENATE("-",N$9), -1, 0)*SWITCH(MOD($A78-$M78,2),1,1,0,-1)*$L78</f>
        <v>-37.28</v>
      </c>
      <c r="O78" s="26">
        <f t="shared" si="67"/>
        <v>0</v>
      </c>
      <c r="P78" s="35">
        <f t="shared" si="67"/>
        <v>203.46</v>
      </c>
      <c r="Q78" s="32">
        <v>1.000008E8</v>
      </c>
    </row>
    <row r="79">
      <c r="A79" s="33">
        <f t="shared" si="4"/>
        <v>70</v>
      </c>
      <c r="B79" s="24" t="s">
        <v>31</v>
      </c>
      <c r="C79" s="24">
        <v>180.0</v>
      </c>
      <c r="D79" s="24">
        <v>16.0</v>
      </c>
      <c r="E79" s="24">
        <v>0.635</v>
      </c>
      <c r="F79" s="24">
        <v>7.0</v>
      </c>
      <c r="G79" s="24" t="s">
        <v>17</v>
      </c>
      <c r="H79" s="25" t="s">
        <v>21</v>
      </c>
      <c r="I79" s="24" t="s">
        <v>19</v>
      </c>
      <c r="J79" s="24" t="s">
        <v>22</v>
      </c>
      <c r="K79" s="26">
        <f t="shared" si="1"/>
        <v>14.91</v>
      </c>
      <c r="L79" s="27">
        <v>0.700000000000002</v>
      </c>
      <c r="M79" s="28">
        <f t="shared" si="59"/>
        <v>61</v>
      </c>
      <c r="N79" s="34">
        <f t="shared" ref="N79:P79" si="68">N78 + SWITCH($I79,CONCATENATE("+",N$9), 1, CONCATENATE("-",N$9), -1, 0)*$K79 + SWITCH($J79,CONCATENATE("+",N$9), 1, CONCATENATE("-",N$9), -1, 0)*SWITCH(MOD($A79-$M79,2),1,1,0,-1)*$L79</f>
        <v>-52.19</v>
      </c>
      <c r="O79" s="26">
        <f t="shared" si="68"/>
        <v>0</v>
      </c>
      <c r="P79" s="35">
        <f t="shared" si="68"/>
        <v>202.76</v>
      </c>
      <c r="Q79" s="32">
        <v>1.000009E8</v>
      </c>
    </row>
    <row r="80">
      <c r="A80" s="33">
        <f t="shared" si="4"/>
        <v>71</v>
      </c>
      <c r="B80" s="24" t="s">
        <v>31</v>
      </c>
      <c r="C80" s="24">
        <v>180.0</v>
      </c>
      <c r="D80" s="24">
        <v>16.0</v>
      </c>
      <c r="E80" s="24">
        <v>0.635</v>
      </c>
      <c r="F80" s="24">
        <v>7.0</v>
      </c>
      <c r="G80" s="24" t="s">
        <v>17</v>
      </c>
      <c r="H80" s="25" t="s">
        <v>21</v>
      </c>
      <c r="I80" s="24" t="s">
        <v>19</v>
      </c>
      <c r="J80" s="24" t="s">
        <v>22</v>
      </c>
      <c r="K80" s="26">
        <f t="shared" si="1"/>
        <v>14.91</v>
      </c>
      <c r="L80" s="27">
        <v>0.700000000000002</v>
      </c>
      <c r="M80" s="28">
        <f t="shared" si="59"/>
        <v>61</v>
      </c>
      <c r="N80" s="34">
        <f t="shared" ref="N80:P80" si="69">N79 + SWITCH($I80,CONCATENATE("+",N$9), 1, CONCATENATE("-",N$9), -1, 0)*$K80 + SWITCH($J80,CONCATENATE("+",N$9), 1, CONCATENATE("-",N$9), -1, 0)*SWITCH(MOD($A80-$M80,2),1,1,0,-1)*$L80</f>
        <v>-67.1</v>
      </c>
      <c r="O80" s="26">
        <f t="shared" si="69"/>
        <v>0</v>
      </c>
      <c r="P80" s="35">
        <f t="shared" si="69"/>
        <v>203.46</v>
      </c>
      <c r="Q80" s="32">
        <v>1.00001E8</v>
      </c>
    </row>
    <row r="81">
      <c r="A81" s="33">
        <f t="shared" si="4"/>
        <v>72</v>
      </c>
      <c r="B81" s="24" t="s">
        <v>31</v>
      </c>
      <c r="C81" s="24">
        <v>180.0</v>
      </c>
      <c r="D81" s="24">
        <v>16.0</v>
      </c>
      <c r="E81" s="24">
        <v>0.635</v>
      </c>
      <c r="F81" s="24">
        <v>7.0</v>
      </c>
      <c r="G81" s="24" t="s">
        <v>17</v>
      </c>
      <c r="H81" s="25" t="s">
        <v>21</v>
      </c>
      <c r="I81" s="24" t="s">
        <v>19</v>
      </c>
      <c r="J81" s="24" t="s">
        <v>22</v>
      </c>
      <c r="K81" s="26">
        <f t="shared" si="1"/>
        <v>14.91</v>
      </c>
      <c r="L81" s="27">
        <v>0.700000000000002</v>
      </c>
      <c r="M81" s="28">
        <f t="shared" si="59"/>
        <v>61</v>
      </c>
      <c r="N81" s="34">
        <f t="shared" ref="N81:P81" si="70">N80 + SWITCH($I81,CONCATENATE("+",N$9), 1, CONCATENATE("-",N$9), -1, 0)*$K81 + SWITCH($J81,CONCATENATE("+",N$9), 1, CONCATENATE("-",N$9), -1, 0)*SWITCH(MOD($A81-$M81,2),1,1,0,-1)*$L81</f>
        <v>-82.01</v>
      </c>
      <c r="O81" s="26">
        <f t="shared" si="70"/>
        <v>0</v>
      </c>
      <c r="P81" s="35">
        <f t="shared" si="70"/>
        <v>202.76</v>
      </c>
      <c r="Q81" s="32">
        <v>1.000011E8</v>
      </c>
    </row>
    <row r="82">
      <c r="A82" s="36">
        <f t="shared" si="4"/>
        <v>73</v>
      </c>
      <c r="B82" s="24" t="s">
        <v>31</v>
      </c>
      <c r="C82" s="24">
        <v>180.0</v>
      </c>
      <c r="D82" s="24">
        <v>16.0</v>
      </c>
      <c r="E82" s="24">
        <v>0.635</v>
      </c>
      <c r="F82" s="24">
        <v>8.0</v>
      </c>
      <c r="G82" s="24" t="s">
        <v>32</v>
      </c>
      <c r="H82" s="24" t="s">
        <v>18</v>
      </c>
      <c r="I82" s="25" t="s">
        <v>24</v>
      </c>
      <c r="J82" s="24" t="s">
        <v>22</v>
      </c>
      <c r="K82" s="26">
        <f t="shared" si="1"/>
        <v>14.18</v>
      </c>
      <c r="L82" s="27">
        <v>0.700000000000002</v>
      </c>
      <c r="M82" s="28">
        <f t="shared" ref="M82:M87" si="71">$A$82</f>
        <v>73</v>
      </c>
      <c r="N82" s="37">
        <v>96.5</v>
      </c>
      <c r="O82" s="27">
        <v>85.4</v>
      </c>
      <c r="P82" s="38">
        <v>208.91</v>
      </c>
      <c r="Q82" s="32">
        <v>1.003005E8</v>
      </c>
    </row>
    <row r="83">
      <c r="A83" s="33">
        <f t="shared" si="4"/>
        <v>74</v>
      </c>
      <c r="B83" s="24" t="s">
        <v>31</v>
      </c>
      <c r="C83" s="24">
        <v>180.0</v>
      </c>
      <c r="D83" s="24">
        <v>16.0</v>
      </c>
      <c r="E83" s="24">
        <v>0.635</v>
      </c>
      <c r="F83" s="24">
        <v>8.0</v>
      </c>
      <c r="G83" s="24" t="s">
        <v>32</v>
      </c>
      <c r="H83" s="24" t="s">
        <v>18</v>
      </c>
      <c r="I83" s="25" t="s">
        <v>24</v>
      </c>
      <c r="J83" s="24" t="s">
        <v>22</v>
      </c>
      <c r="K83" s="26">
        <f t="shared" si="1"/>
        <v>14.18</v>
      </c>
      <c r="L83" s="27">
        <v>0.700000000000002</v>
      </c>
      <c r="M83" s="28">
        <f t="shared" si="71"/>
        <v>73</v>
      </c>
      <c r="N83" s="37">
        <f t="shared" ref="N83:P83" si="72">N82 + SWITCH($I83,CONCATENATE("+",N$9), 1, CONCATENATE("-",N$9), -1, 0)*$K83 + SWITCH($J83,CONCATENATE("+",N$9), 1, CONCATENATE("-",N$9), -1, 0)*SWITCH(MOD($A83-$M83,2),1,1,0,-1)*$L83</f>
        <v>110.68</v>
      </c>
      <c r="O83" s="26">
        <f t="shared" si="72"/>
        <v>85.4</v>
      </c>
      <c r="P83" s="35">
        <f t="shared" si="72"/>
        <v>208.21</v>
      </c>
      <c r="Q83" s="32">
        <v>1.003004E8</v>
      </c>
    </row>
    <row r="84">
      <c r="A84" s="33">
        <f t="shared" si="4"/>
        <v>75</v>
      </c>
      <c r="B84" s="24" t="s">
        <v>31</v>
      </c>
      <c r="C84" s="24">
        <v>180.0</v>
      </c>
      <c r="D84" s="24">
        <v>16.0</v>
      </c>
      <c r="E84" s="24">
        <v>0.635</v>
      </c>
      <c r="F84" s="24">
        <v>8.0</v>
      </c>
      <c r="G84" s="24" t="s">
        <v>32</v>
      </c>
      <c r="H84" s="24" t="s">
        <v>18</v>
      </c>
      <c r="I84" s="25" t="s">
        <v>24</v>
      </c>
      <c r="J84" s="24" t="s">
        <v>22</v>
      </c>
      <c r="K84" s="26">
        <f t="shared" si="1"/>
        <v>14.18</v>
      </c>
      <c r="L84" s="27">
        <v>0.700000000000002</v>
      </c>
      <c r="M84" s="28">
        <f t="shared" si="71"/>
        <v>73</v>
      </c>
      <c r="N84" s="37">
        <f t="shared" ref="N84:P84" si="73">N83 + SWITCH($I84,CONCATENATE("+",N$9), 1, CONCATENATE("-",N$9), -1, 0)*$K84 + SWITCH($J84,CONCATENATE("+",N$9), 1, CONCATENATE("-",N$9), -1, 0)*SWITCH(MOD($A84-$M84,2),1,1,0,-1)*$L84</f>
        <v>124.86</v>
      </c>
      <c r="O84" s="26">
        <f t="shared" si="73"/>
        <v>85.4</v>
      </c>
      <c r="P84" s="35">
        <f t="shared" si="73"/>
        <v>208.91</v>
      </c>
      <c r="Q84" s="32">
        <v>1.003003E8</v>
      </c>
    </row>
    <row r="85">
      <c r="A85" s="33">
        <f t="shared" si="4"/>
        <v>76</v>
      </c>
      <c r="B85" s="24" t="s">
        <v>31</v>
      </c>
      <c r="C85" s="24">
        <v>180.0</v>
      </c>
      <c r="D85" s="24">
        <v>16.0</v>
      </c>
      <c r="E85" s="24">
        <v>0.635</v>
      </c>
      <c r="F85" s="24">
        <v>8.0</v>
      </c>
      <c r="G85" s="24" t="s">
        <v>32</v>
      </c>
      <c r="H85" s="24" t="s">
        <v>18</v>
      </c>
      <c r="I85" s="25" t="s">
        <v>24</v>
      </c>
      <c r="J85" s="24" t="s">
        <v>22</v>
      </c>
      <c r="K85" s="26">
        <f t="shared" si="1"/>
        <v>14.18</v>
      </c>
      <c r="L85" s="27">
        <v>0.700000000000002</v>
      </c>
      <c r="M85" s="28">
        <f t="shared" si="71"/>
        <v>73</v>
      </c>
      <c r="N85" s="37">
        <f t="shared" ref="N85:P85" si="74">N84 + SWITCH($I85,CONCATENATE("+",N$9), 1, CONCATENATE("-",N$9), -1, 0)*$K85 + SWITCH($J85,CONCATENATE("+",N$9), 1, CONCATENATE("-",N$9), -1, 0)*SWITCH(MOD($A85-$M85,2),1,1,0,-1)*$L85</f>
        <v>139.04</v>
      </c>
      <c r="O85" s="26">
        <f t="shared" si="74"/>
        <v>85.4</v>
      </c>
      <c r="P85" s="35">
        <f t="shared" si="74"/>
        <v>208.21</v>
      </c>
      <c r="Q85" s="32">
        <v>1.003002E8</v>
      </c>
    </row>
    <row r="86">
      <c r="A86" s="33">
        <f t="shared" si="4"/>
        <v>77</v>
      </c>
      <c r="B86" s="24" t="s">
        <v>31</v>
      </c>
      <c r="C86" s="24">
        <v>180.0</v>
      </c>
      <c r="D86" s="24">
        <v>16.0</v>
      </c>
      <c r="E86" s="24">
        <v>0.635</v>
      </c>
      <c r="F86" s="24">
        <v>8.0</v>
      </c>
      <c r="G86" s="24" t="s">
        <v>32</v>
      </c>
      <c r="H86" s="24" t="s">
        <v>18</v>
      </c>
      <c r="I86" s="25" t="s">
        <v>24</v>
      </c>
      <c r="J86" s="24" t="s">
        <v>22</v>
      </c>
      <c r="K86" s="26">
        <f t="shared" si="1"/>
        <v>14.18</v>
      </c>
      <c r="L86" s="27">
        <v>0.700000000000002</v>
      </c>
      <c r="M86" s="28">
        <f t="shared" si="71"/>
        <v>73</v>
      </c>
      <c r="N86" s="37">
        <f t="shared" ref="N86:P86" si="75">N85 + SWITCH($I86,CONCATENATE("+",N$9), 1, CONCATENATE("-",N$9), -1, 0)*$K86 + SWITCH($J86,CONCATENATE("+",N$9), 1, CONCATENATE("-",N$9), -1, 0)*SWITCH(MOD($A86-$M86,2),1,1,0,-1)*$L86</f>
        <v>153.22</v>
      </c>
      <c r="O86" s="26">
        <f t="shared" si="75"/>
        <v>85.4</v>
      </c>
      <c r="P86" s="35">
        <f t="shared" si="75"/>
        <v>208.91</v>
      </c>
      <c r="Q86" s="32">
        <v>1.003001E8</v>
      </c>
    </row>
    <row r="87">
      <c r="A87" s="33">
        <f t="shared" si="4"/>
        <v>78</v>
      </c>
      <c r="B87" s="24" t="s">
        <v>31</v>
      </c>
      <c r="C87" s="24">
        <v>180.0</v>
      </c>
      <c r="D87" s="24">
        <v>16.0</v>
      </c>
      <c r="E87" s="24">
        <v>0.635</v>
      </c>
      <c r="F87" s="24">
        <v>8.0</v>
      </c>
      <c r="G87" s="24" t="s">
        <v>32</v>
      </c>
      <c r="H87" s="24" t="s">
        <v>18</v>
      </c>
      <c r="I87" s="25" t="s">
        <v>24</v>
      </c>
      <c r="J87" s="24" t="s">
        <v>22</v>
      </c>
      <c r="K87" s="26">
        <f t="shared" si="1"/>
        <v>14.18</v>
      </c>
      <c r="L87" s="27">
        <v>0.700000000000002</v>
      </c>
      <c r="M87" s="28">
        <f t="shared" si="71"/>
        <v>73</v>
      </c>
      <c r="N87" s="37">
        <f t="shared" ref="N87:P87" si="76">N86 + SWITCH($I87,CONCATENATE("+",N$9), 1, CONCATENATE("-",N$9), -1, 0)*$K87 + SWITCH($J87,CONCATENATE("+",N$9), 1, CONCATENATE("-",N$9), -1, 0)*SWITCH(MOD($A87-$M87,2),1,1,0,-1)*$L87</f>
        <v>167.4</v>
      </c>
      <c r="O87" s="26">
        <f t="shared" si="76"/>
        <v>85.4</v>
      </c>
      <c r="P87" s="35">
        <f t="shared" si="76"/>
        <v>208.21</v>
      </c>
      <c r="Q87" s="32">
        <v>1.003E8</v>
      </c>
    </row>
    <row r="88">
      <c r="A88" s="36">
        <f t="shared" si="4"/>
        <v>79</v>
      </c>
      <c r="B88" s="24" t="s">
        <v>31</v>
      </c>
      <c r="C88" s="24">
        <v>180.0</v>
      </c>
      <c r="D88" s="24">
        <v>16.0</v>
      </c>
      <c r="E88" s="24">
        <v>0.635</v>
      </c>
      <c r="F88" s="24">
        <v>9.0</v>
      </c>
      <c r="G88" s="24" t="s">
        <v>32</v>
      </c>
      <c r="H88" s="25" t="s">
        <v>24</v>
      </c>
      <c r="I88" s="25" t="s">
        <v>21</v>
      </c>
      <c r="J88" s="24" t="s">
        <v>22</v>
      </c>
      <c r="K88" s="26">
        <f t="shared" si="1"/>
        <v>14.18</v>
      </c>
      <c r="L88" s="27">
        <v>0.700000000000002</v>
      </c>
      <c r="M88" s="28">
        <f t="shared" ref="M88:M93" si="77">$A$88</f>
        <v>79</v>
      </c>
      <c r="N88" s="37">
        <v>0.0</v>
      </c>
      <c r="O88" s="27">
        <v>96.5</v>
      </c>
      <c r="P88" s="38">
        <v>206.23</v>
      </c>
      <c r="Q88" s="32">
        <v>1.002005E8</v>
      </c>
      <c r="R88" s="32" t="s">
        <v>33</v>
      </c>
    </row>
    <row r="89">
      <c r="A89" s="33">
        <f t="shared" si="4"/>
        <v>80</v>
      </c>
      <c r="B89" s="24" t="s">
        <v>31</v>
      </c>
      <c r="C89" s="39">
        <v>149.0</v>
      </c>
      <c r="D89" s="24">
        <v>16.0</v>
      </c>
      <c r="E89" s="24">
        <v>0.635</v>
      </c>
      <c r="F89" s="24">
        <v>9.0</v>
      </c>
      <c r="G89" s="24" t="s">
        <v>32</v>
      </c>
      <c r="H89" s="25" t="s">
        <v>24</v>
      </c>
      <c r="I89" s="25" t="s">
        <v>21</v>
      </c>
      <c r="J89" s="24" t="s">
        <v>22</v>
      </c>
      <c r="K89" s="26">
        <f t="shared" si="1"/>
        <v>14.18</v>
      </c>
      <c r="L89" s="27">
        <v>0.700000000000002</v>
      </c>
      <c r="M89" s="28">
        <f t="shared" si="77"/>
        <v>79</v>
      </c>
      <c r="N89" s="37">
        <f t="shared" ref="N89:P89" si="78">N88 + SWITCH($I89,CONCATENATE("+",N$9), 1, CONCATENATE("-",N$9), -1, 0)*$K89 + SWITCH($J89,CONCATENATE("+",N$9), 1, CONCATENATE("-",N$9), -1, 0)*SWITCH(MOD($A89-$M89,2),1,1,0,-1)*$L89</f>
        <v>0</v>
      </c>
      <c r="O89" s="26">
        <f t="shared" si="78"/>
        <v>110.68</v>
      </c>
      <c r="P89" s="35">
        <f t="shared" si="78"/>
        <v>205.53</v>
      </c>
      <c r="Q89" s="32">
        <v>1.002004E8</v>
      </c>
    </row>
    <row r="90">
      <c r="A90" s="33">
        <f t="shared" si="4"/>
        <v>81</v>
      </c>
      <c r="B90" s="24" t="s">
        <v>31</v>
      </c>
      <c r="C90" s="24">
        <v>180.0</v>
      </c>
      <c r="D90" s="24">
        <v>16.0</v>
      </c>
      <c r="E90" s="24">
        <v>0.635</v>
      </c>
      <c r="F90" s="24">
        <v>9.0</v>
      </c>
      <c r="G90" s="24" t="s">
        <v>32</v>
      </c>
      <c r="H90" s="25" t="s">
        <v>24</v>
      </c>
      <c r="I90" s="25" t="s">
        <v>21</v>
      </c>
      <c r="J90" s="24" t="s">
        <v>22</v>
      </c>
      <c r="K90" s="26">
        <f t="shared" si="1"/>
        <v>14.18</v>
      </c>
      <c r="L90" s="27">
        <v>0.700000000000002</v>
      </c>
      <c r="M90" s="28">
        <f t="shared" si="77"/>
        <v>79</v>
      </c>
      <c r="N90" s="37">
        <f t="shared" ref="N90:P90" si="79">N89 + SWITCH($I90,CONCATENATE("+",N$9), 1, CONCATENATE("-",N$9), -1, 0)*$K90 + SWITCH($J90,CONCATENATE("+",N$9), 1, CONCATENATE("-",N$9), -1, 0)*SWITCH(MOD($A90-$M90,2),1,1,0,-1)*$L90</f>
        <v>0</v>
      </c>
      <c r="O90" s="26">
        <f t="shared" si="79"/>
        <v>124.86</v>
      </c>
      <c r="P90" s="35">
        <f t="shared" si="79"/>
        <v>206.23</v>
      </c>
      <c r="Q90" s="32">
        <v>1.002003E8</v>
      </c>
    </row>
    <row r="91">
      <c r="A91" s="33">
        <f t="shared" si="4"/>
        <v>82</v>
      </c>
      <c r="B91" s="24" t="s">
        <v>31</v>
      </c>
      <c r="C91" s="24">
        <v>180.0</v>
      </c>
      <c r="D91" s="24">
        <v>16.0</v>
      </c>
      <c r="E91" s="24">
        <v>0.635</v>
      </c>
      <c r="F91" s="24">
        <v>9.0</v>
      </c>
      <c r="G91" s="24" t="s">
        <v>32</v>
      </c>
      <c r="H91" s="25" t="s">
        <v>24</v>
      </c>
      <c r="I91" s="25" t="s">
        <v>21</v>
      </c>
      <c r="J91" s="24" t="s">
        <v>22</v>
      </c>
      <c r="K91" s="26">
        <f t="shared" si="1"/>
        <v>14.18</v>
      </c>
      <c r="L91" s="27">
        <v>0.700000000000002</v>
      </c>
      <c r="M91" s="28">
        <f t="shared" si="77"/>
        <v>79</v>
      </c>
      <c r="N91" s="37">
        <f t="shared" ref="N91:P91" si="80">N90 + SWITCH($I91,CONCATENATE("+",N$9), 1, CONCATENATE("-",N$9), -1, 0)*$K91 + SWITCH($J91,CONCATENATE("+",N$9), 1, CONCATENATE("-",N$9), -1, 0)*SWITCH(MOD($A91-$M91,2),1,1,0,-1)*$L91</f>
        <v>0</v>
      </c>
      <c r="O91" s="26">
        <f t="shared" si="80"/>
        <v>139.04</v>
      </c>
      <c r="P91" s="35">
        <f t="shared" si="80"/>
        <v>205.53</v>
      </c>
      <c r="Q91" s="32">
        <v>1.002002E8</v>
      </c>
    </row>
    <row r="92">
      <c r="A92" s="33">
        <f t="shared" si="4"/>
        <v>83</v>
      </c>
      <c r="B92" s="24" t="s">
        <v>31</v>
      </c>
      <c r="C92" s="24">
        <v>180.0</v>
      </c>
      <c r="D92" s="24">
        <v>16.0</v>
      </c>
      <c r="E92" s="24">
        <v>0.635</v>
      </c>
      <c r="F92" s="24">
        <v>9.0</v>
      </c>
      <c r="G92" s="24" t="s">
        <v>32</v>
      </c>
      <c r="H92" s="25" t="s">
        <v>24</v>
      </c>
      <c r="I92" s="25" t="s">
        <v>21</v>
      </c>
      <c r="J92" s="24" t="s">
        <v>22</v>
      </c>
      <c r="K92" s="26">
        <f t="shared" si="1"/>
        <v>14.18</v>
      </c>
      <c r="L92" s="27">
        <v>0.700000000000002</v>
      </c>
      <c r="M92" s="28">
        <f t="shared" si="77"/>
        <v>79</v>
      </c>
      <c r="N92" s="37">
        <f t="shared" ref="N92:P92" si="81">N91 + SWITCH($I92,CONCATENATE("+",N$9), 1, CONCATENATE("-",N$9), -1, 0)*$K92 + SWITCH($J92,CONCATENATE("+",N$9), 1, CONCATENATE("-",N$9), -1, 0)*SWITCH(MOD($A92-$M92,2),1,1,0,-1)*$L92</f>
        <v>0</v>
      </c>
      <c r="O92" s="26">
        <f t="shared" si="81"/>
        <v>153.22</v>
      </c>
      <c r="P92" s="35">
        <f t="shared" si="81"/>
        <v>206.23</v>
      </c>
      <c r="Q92" s="32">
        <v>1.002001E8</v>
      </c>
    </row>
    <row r="93">
      <c r="A93" s="33">
        <f t="shared" si="4"/>
        <v>84</v>
      </c>
      <c r="B93" s="24" t="s">
        <v>31</v>
      </c>
      <c r="C93" s="24">
        <v>180.0</v>
      </c>
      <c r="D93" s="24">
        <v>16.0</v>
      </c>
      <c r="E93" s="24">
        <v>0.635</v>
      </c>
      <c r="F93" s="24">
        <v>9.0</v>
      </c>
      <c r="G93" s="24" t="s">
        <v>32</v>
      </c>
      <c r="H93" s="25" t="s">
        <v>24</v>
      </c>
      <c r="I93" s="25" t="s">
        <v>21</v>
      </c>
      <c r="J93" s="24" t="s">
        <v>22</v>
      </c>
      <c r="K93" s="26">
        <f t="shared" si="1"/>
        <v>14.18</v>
      </c>
      <c r="L93" s="27">
        <v>0.700000000000002</v>
      </c>
      <c r="M93" s="28">
        <f t="shared" si="77"/>
        <v>79</v>
      </c>
      <c r="N93" s="37">
        <f t="shared" ref="N93:P93" si="82">N92 + SWITCH($I93,CONCATENATE("+",N$9), 1, CONCATENATE("-",N$9), -1, 0)*$K93 + SWITCH($J93,CONCATENATE("+",N$9), 1, CONCATENATE("-",N$9), -1, 0)*SWITCH(MOD($A93-$M93,2),1,1,0,-1)*$L93</f>
        <v>0</v>
      </c>
      <c r="O93" s="26">
        <f t="shared" si="82"/>
        <v>167.4</v>
      </c>
      <c r="P93" s="35">
        <f t="shared" si="82"/>
        <v>205.53</v>
      </c>
      <c r="Q93" s="32">
        <v>1.002E8</v>
      </c>
    </row>
    <row r="94">
      <c r="A94" s="36">
        <f t="shared" si="4"/>
        <v>85</v>
      </c>
      <c r="B94" s="24" t="s">
        <v>31</v>
      </c>
      <c r="C94" s="24">
        <v>180.0</v>
      </c>
      <c r="D94" s="24">
        <v>16.0</v>
      </c>
      <c r="E94" s="24">
        <v>0.635</v>
      </c>
      <c r="F94" s="24">
        <v>10.0</v>
      </c>
      <c r="G94" s="24" t="s">
        <v>32</v>
      </c>
      <c r="H94" s="25" t="s">
        <v>21</v>
      </c>
      <c r="I94" s="24" t="s">
        <v>19</v>
      </c>
      <c r="J94" s="24" t="s">
        <v>22</v>
      </c>
      <c r="K94" s="26">
        <f t="shared" si="1"/>
        <v>14.18</v>
      </c>
      <c r="L94" s="27">
        <v>0.700000000000002</v>
      </c>
      <c r="M94" s="28">
        <f t="shared" ref="M94:M99" si="83">$A$94</f>
        <v>85</v>
      </c>
      <c r="N94" s="37">
        <v>-96.5</v>
      </c>
      <c r="O94" s="27">
        <v>85.4</v>
      </c>
      <c r="P94" s="38">
        <v>210.61</v>
      </c>
      <c r="Q94" s="32">
        <v>1.004E8</v>
      </c>
    </row>
    <row r="95">
      <c r="A95" s="33">
        <f t="shared" si="4"/>
        <v>86</v>
      </c>
      <c r="B95" s="24" t="s">
        <v>31</v>
      </c>
      <c r="C95" s="24">
        <v>180.0</v>
      </c>
      <c r="D95" s="24">
        <v>16.0</v>
      </c>
      <c r="E95" s="24">
        <v>0.635</v>
      </c>
      <c r="F95" s="24">
        <v>10.0</v>
      </c>
      <c r="G95" s="24" t="s">
        <v>32</v>
      </c>
      <c r="H95" s="25" t="s">
        <v>21</v>
      </c>
      <c r="I95" s="24" t="s">
        <v>19</v>
      </c>
      <c r="J95" s="24" t="s">
        <v>22</v>
      </c>
      <c r="K95" s="26">
        <f t="shared" si="1"/>
        <v>14.18</v>
      </c>
      <c r="L95" s="27">
        <v>0.700000000000002</v>
      </c>
      <c r="M95" s="28">
        <f t="shared" si="83"/>
        <v>85</v>
      </c>
      <c r="N95" s="37">
        <f t="shared" ref="N95:P95" si="84">N94 + SWITCH($I95,CONCATENATE("+",N$9), 1, CONCATENATE("-",N$9), -1, 0)*$K95 + SWITCH($J95,CONCATENATE("+",N$9), 1, CONCATENATE("-",N$9), -1, 0)*SWITCH(MOD($A95-$M95,2),1,1,0,-1)*$L95</f>
        <v>-110.68</v>
      </c>
      <c r="O95" s="26">
        <f t="shared" si="84"/>
        <v>85.4</v>
      </c>
      <c r="P95" s="35">
        <f t="shared" si="84"/>
        <v>209.91</v>
      </c>
      <c r="Q95" s="32">
        <v>1.004001E8</v>
      </c>
    </row>
    <row r="96">
      <c r="A96" s="33">
        <f t="shared" si="4"/>
        <v>87</v>
      </c>
      <c r="B96" s="24" t="s">
        <v>31</v>
      </c>
      <c r="C96" s="24">
        <v>180.0</v>
      </c>
      <c r="D96" s="24">
        <v>16.0</v>
      </c>
      <c r="E96" s="24">
        <v>0.635</v>
      </c>
      <c r="F96" s="24">
        <v>10.0</v>
      </c>
      <c r="G96" s="24" t="s">
        <v>32</v>
      </c>
      <c r="H96" s="25" t="s">
        <v>21</v>
      </c>
      <c r="I96" s="24" t="s">
        <v>19</v>
      </c>
      <c r="J96" s="24" t="s">
        <v>22</v>
      </c>
      <c r="K96" s="26">
        <f t="shared" si="1"/>
        <v>14.18</v>
      </c>
      <c r="L96" s="27">
        <v>0.700000000000002</v>
      </c>
      <c r="M96" s="28">
        <f t="shared" si="83"/>
        <v>85</v>
      </c>
      <c r="N96" s="37">
        <f t="shared" ref="N96:P96" si="85">N95 + SWITCH($I96,CONCATENATE("+",N$9), 1, CONCATENATE("-",N$9), -1, 0)*$K96 + SWITCH($J96,CONCATENATE("+",N$9), 1, CONCATENATE("-",N$9), -1, 0)*SWITCH(MOD($A96-$M96,2),1,1,0,-1)*$L96</f>
        <v>-124.86</v>
      </c>
      <c r="O96" s="26">
        <f t="shared" si="85"/>
        <v>85.4</v>
      </c>
      <c r="P96" s="35">
        <f t="shared" si="85"/>
        <v>210.61</v>
      </c>
      <c r="Q96" s="32">
        <v>1.004002E8</v>
      </c>
    </row>
    <row r="97">
      <c r="A97" s="33">
        <f t="shared" si="4"/>
        <v>88</v>
      </c>
      <c r="B97" s="24" t="s">
        <v>31</v>
      </c>
      <c r="C97" s="24">
        <v>180.0</v>
      </c>
      <c r="D97" s="24">
        <v>16.0</v>
      </c>
      <c r="E97" s="24">
        <v>0.635</v>
      </c>
      <c r="F97" s="24">
        <v>10.0</v>
      </c>
      <c r="G97" s="24" t="s">
        <v>32</v>
      </c>
      <c r="H97" s="25" t="s">
        <v>21</v>
      </c>
      <c r="I97" s="24" t="s">
        <v>19</v>
      </c>
      <c r="J97" s="24" t="s">
        <v>22</v>
      </c>
      <c r="K97" s="26">
        <f t="shared" si="1"/>
        <v>14.18</v>
      </c>
      <c r="L97" s="27">
        <v>0.700000000000002</v>
      </c>
      <c r="M97" s="28">
        <f t="shared" si="83"/>
        <v>85</v>
      </c>
      <c r="N97" s="37">
        <f t="shared" ref="N97:P97" si="86">N96 + SWITCH($I97,CONCATENATE("+",N$9), 1, CONCATENATE("-",N$9), -1, 0)*$K97 + SWITCH($J97,CONCATENATE("+",N$9), 1, CONCATENATE("-",N$9), -1, 0)*SWITCH(MOD($A97-$M97,2),1,1,0,-1)*$L97</f>
        <v>-139.04</v>
      </c>
      <c r="O97" s="26">
        <f t="shared" si="86"/>
        <v>85.4</v>
      </c>
      <c r="P97" s="35">
        <f t="shared" si="86"/>
        <v>209.91</v>
      </c>
      <c r="Q97" s="32">
        <v>1.004003E8</v>
      </c>
    </row>
    <row r="98">
      <c r="A98" s="33">
        <f t="shared" si="4"/>
        <v>89</v>
      </c>
      <c r="B98" s="24" t="s">
        <v>31</v>
      </c>
      <c r="C98" s="24">
        <v>180.0</v>
      </c>
      <c r="D98" s="24">
        <v>16.0</v>
      </c>
      <c r="E98" s="24">
        <v>0.635</v>
      </c>
      <c r="F98" s="24">
        <v>10.0</v>
      </c>
      <c r="G98" s="24" t="s">
        <v>32</v>
      </c>
      <c r="H98" s="25" t="s">
        <v>21</v>
      </c>
      <c r="I98" s="24" t="s">
        <v>19</v>
      </c>
      <c r="J98" s="24" t="s">
        <v>22</v>
      </c>
      <c r="K98" s="26">
        <f t="shared" si="1"/>
        <v>14.18</v>
      </c>
      <c r="L98" s="27">
        <v>0.700000000000002</v>
      </c>
      <c r="M98" s="28">
        <f t="shared" si="83"/>
        <v>85</v>
      </c>
      <c r="N98" s="37">
        <f t="shared" ref="N98:P98" si="87">N97 + SWITCH($I98,CONCATENATE("+",N$9), 1, CONCATENATE("-",N$9), -1, 0)*$K98 + SWITCH($J98,CONCATENATE("+",N$9), 1, CONCATENATE("-",N$9), -1, 0)*SWITCH(MOD($A98-$M98,2),1,1,0,-1)*$L98</f>
        <v>-153.22</v>
      </c>
      <c r="O98" s="26">
        <f t="shared" si="87"/>
        <v>85.4</v>
      </c>
      <c r="P98" s="35">
        <f t="shared" si="87"/>
        <v>210.61</v>
      </c>
      <c r="Q98" s="32">
        <v>1.004004E8</v>
      </c>
    </row>
    <row r="99">
      <c r="A99" s="33">
        <f t="shared" si="4"/>
        <v>90</v>
      </c>
      <c r="B99" s="24" t="s">
        <v>31</v>
      </c>
      <c r="C99" s="24">
        <v>180.0</v>
      </c>
      <c r="D99" s="24">
        <v>16.0</v>
      </c>
      <c r="E99" s="24">
        <v>0.635</v>
      </c>
      <c r="F99" s="24">
        <v>10.0</v>
      </c>
      <c r="G99" s="24" t="s">
        <v>32</v>
      </c>
      <c r="H99" s="25" t="s">
        <v>21</v>
      </c>
      <c r="I99" s="24" t="s">
        <v>19</v>
      </c>
      <c r="J99" s="24" t="s">
        <v>22</v>
      </c>
      <c r="K99" s="26">
        <f t="shared" si="1"/>
        <v>14.18</v>
      </c>
      <c r="L99" s="27">
        <v>0.700000000000002</v>
      </c>
      <c r="M99" s="28">
        <f t="shared" si="83"/>
        <v>85</v>
      </c>
      <c r="N99" s="37">
        <f t="shared" ref="N99:P99" si="88">N98 + SWITCH($I99,CONCATENATE("+",N$9), 1, CONCATENATE("-",N$9), -1, 0)*$K99 + SWITCH($J99,CONCATENATE("+",N$9), 1, CONCATENATE("-",N$9), -1, 0)*SWITCH(MOD($A99-$M99,2),1,1,0,-1)*$L99</f>
        <v>-167.4</v>
      </c>
      <c r="O99" s="26">
        <f t="shared" si="88"/>
        <v>85.4</v>
      </c>
      <c r="P99" s="35">
        <f t="shared" si="88"/>
        <v>209.91</v>
      </c>
      <c r="Q99" s="32">
        <v>1.004005E8</v>
      </c>
    </row>
    <row r="100">
      <c r="A100" s="36">
        <f t="shared" si="4"/>
        <v>91</v>
      </c>
      <c r="B100" s="24" t="s">
        <v>31</v>
      </c>
      <c r="C100" s="24">
        <v>180.0</v>
      </c>
      <c r="D100" s="24">
        <v>16.0</v>
      </c>
      <c r="E100" s="24">
        <v>0.635</v>
      </c>
      <c r="F100" s="24">
        <v>11.0</v>
      </c>
      <c r="G100" s="24" t="s">
        <v>32</v>
      </c>
      <c r="H100" s="25" t="s">
        <v>21</v>
      </c>
      <c r="I100" s="24" t="s">
        <v>19</v>
      </c>
      <c r="J100" s="24" t="s">
        <v>22</v>
      </c>
      <c r="K100" s="26">
        <f t="shared" si="1"/>
        <v>14.18</v>
      </c>
      <c r="L100" s="27">
        <v>0.700000000000002</v>
      </c>
      <c r="M100" s="28">
        <f t="shared" ref="M100:M105" si="89">$A$100</f>
        <v>91</v>
      </c>
      <c r="N100" s="37">
        <v>-96.5</v>
      </c>
      <c r="O100" s="27">
        <v>-85.4</v>
      </c>
      <c r="P100" s="38">
        <v>208.91</v>
      </c>
      <c r="Q100" s="32">
        <v>1.006005E8</v>
      </c>
    </row>
    <row r="101">
      <c r="A101" s="33">
        <f t="shared" si="4"/>
        <v>92</v>
      </c>
      <c r="B101" s="24" t="s">
        <v>31</v>
      </c>
      <c r="C101" s="24">
        <v>180.0</v>
      </c>
      <c r="D101" s="24">
        <v>16.0</v>
      </c>
      <c r="E101" s="24">
        <v>0.635</v>
      </c>
      <c r="F101" s="24">
        <v>11.0</v>
      </c>
      <c r="G101" s="24" t="s">
        <v>32</v>
      </c>
      <c r="H101" s="25" t="s">
        <v>21</v>
      </c>
      <c r="I101" s="24" t="s">
        <v>19</v>
      </c>
      <c r="J101" s="24" t="s">
        <v>22</v>
      </c>
      <c r="K101" s="26">
        <f t="shared" si="1"/>
        <v>14.18</v>
      </c>
      <c r="L101" s="27">
        <v>0.700000000000002</v>
      </c>
      <c r="M101" s="28">
        <f t="shared" si="89"/>
        <v>91</v>
      </c>
      <c r="N101" s="37">
        <f t="shared" ref="N101:P101" si="90">N100 + SWITCH($I101,CONCATENATE("+",N$9), 1, CONCATENATE("-",N$9), -1, 0)*$K101 + SWITCH($J101,CONCATENATE("+",N$9), 1, CONCATENATE("-",N$9), -1, 0)*SWITCH(MOD($A101-$M101,2),1,1,0,-1)*$L101</f>
        <v>-110.68</v>
      </c>
      <c r="O101" s="26">
        <f t="shared" si="90"/>
        <v>-85.4</v>
      </c>
      <c r="P101" s="35">
        <f t="shared" si="90"/>
        <v>208.21</v>
      </c>
      <c r="Q101" s="32">
        <v>1.006004E8</v>
      </c>
    </row>
    <row r="102">
      <c r="A102" s="33">
        <f t="shared" si="4"/>
        <v>93</v>
      </c>
      <c r="B102" s="24" t="s">
        <v>31</v>
      </c>
      <c r="C102" s="24">
        <v>180.0</v>
      </c>
      <c r="D102" s="24">
        <v>16.0</v>
      </c>
      <c r="E102" s="24">
        <v>0.635</v>
      </c>
      <c r="F102" s="24">
        <v>11.0</v>
      </c>
      <c r="G102" s="24" t="s">
        <v>32</v>
      </c>
      <c r="H102" s="25" t="s">
        <v>21</v>
      </c>
      <c r="I102" s="24" t="s">
        <v>19</v>
      </c>
      <c r="J102" s="24" t="s">
        <v>22</v>
      </c>
      <c r="K102" s="26">
        <f t="shared" si="1"/>
        <v>14.18</v>
      </c>
      <c r="L102" s="27">
        <v>0.700000000000002</v>
      </c>
      <c r="M102" s="28">
        <f t="shared" si="89"/>
        <v>91</v>
      </c>
      <c r="N102" s="37">
        <f t="shared" ref="N102:P102" si="91">N101 + SWITCH($I102,CONCATENATE("+",N$9), 1, CONCATENATE("-",N$9), -1, 0)*$K102 + SWITCH($J102,CONCATENATE("+",N$9), 1, CONCATENATE("-",N$9), -1, 0)*SWITCH(MOD($A102-$M102,2),1,1,0,-1)*$L102</f>
        <v>-124.86</v>
      </c>
      <c r="O102" s="26">
        <f t="shared" si="91"/>
        <v>-85.4</v>
      </c>
      <c r="P102" s="35">
        <f t="shared" si="91"/>
        <v>208.91</v>
      </c>
      <c r="Q102" s="32">
        <v>1.006003E8</v>
      </c>
    </row>
    <row r="103">
      <c r="A103" s="33">
        <f t="shared" si="4"/>
        <v>94</v>
      </c>
      <c r="B103" s="24" t="s">
        <v>31</v>
      </c>
      <c r="C103" s="24">
        <v>180.0</v>
      </c>
      <c r="D103" s="24">
        <v>16.0</v>
      </c>
      <c r="E103" s="24">
        <v>0.635</v>
      </c>
      <c r="F103" s="24">
        <v>11.0</v>
      </c>
      <c r="G103" s="24" t="s">
        <v>32</v>
      </c>
      <c r="H103" s="25" t="s">
        <v>21</v>
      </c>
      <c r="I103" s="24" t="s">
        <v>19</v>
      </c>
      <c r="J103" s="24" t="s">
        <v>22</v>
      </c>
      <c r="K103" s="26">
        <f t="shared" si="1"/>
        <v>14.18</v>
      </c>
      <c r="L103" s="27">
        <v>0.700000000000002</v>
      </c>
      <c r="M103" s="28">
        <f t="shared" si="89"/>
        <v>91</v>
      </c>
      <c r="N103" s="37">
        <f t="shared" ref="N103:P103" si="92">N102 + SWITCH($I103,CONCATENATE("+",N$9), 1, CONCATENATE("-",N$9), -1, 0)*$K103 + SWITCH($J103,CONCATENATE("+",N$9), 1, CONCATENATE("-",N$9), -1, 0)*SWITCH(MOD($A103-$M103,2),1,1,0,-1)*$L103</f>
        <v>-139.04</v>
      </c>
      <c r="O103" s="26">
        <f t="shared" si="92"/>
        <v>-85.4</v>
      </c>
      <c r="P103" s="35">
        <f t="shared" si="92"/>
        <v>208.21</v>
      </c>
      <c r="Q103" s="32">
        <v>1.006002E8</v>
      </c>
    </row>
    <row r="104">
      <c r="A104" s="33">
        <f t="shared" si="4"/>
        <v>95</v>
      </c>
      <c r="B104" s="24" t="s">
        <v>31</v>
      </c>
      <c r="C104" s="24">
        <v>180.0</v>
      </c>
      <c r="D104" s="24">
        <v>16.0</v>
      </c>
      <c r="E104" s="24">
        <v>0.635</v>
      </c>
      <c r="F104" s="24">
        <v>11.0</v>
      </c>
      <c r="G104" s="24" t="s">
        <v>32</v>
      </c>
      <c r="H104" s="25" t="s">
        <v>21</v>
      </c>
      <c r="I104" s="24" t="s">
        <v>19</v>
      </c>
      <c r="J104" s="24" t="s">
        <v>22</v>
      </c>
      <c r="K104" s="26">
        <f t="shared" si="1"/>
        <v>14.18</v>
      </c>
      <c r="L104" s="27">
        <v>0.700000000000002</v>
      </c>
      <c r="M104" s="28">
        <f t="shared" si="89"/>
        <v>91</v>
      </c>
      <c r="N104" s="37">
        <f t="shared" ref="N104:P104" si="93">N103 + SWITCH($I104,CONCATENATE("+",N$9), 1, CONCATENATE("-",N$9), -1, 0)*$K104 + SWITCH($J104,CONCATENATE("+",N$9), 1, CONCATENATE("-",N$9), -1, 0)*SWITCH(MOD($A104-$M104,2),1,1,0,-1)*$L104</f>
        <v>-153.22</v>
      </c>
      <c r="O104" s="26">
        <f t="shared" si="93"/>
        <v>-85.4</v>
      </c>
      <c r="P104" s="35">
        <f t="shared" si="93"/>
        <v>208.91</v>
      </c>
      <c r="Q104" s="32">
        <v>1.006001E8</v>
      </c>
    </row>
    <row r="105">
      <c r="A105" s="33">
        <f t="shared" si="4"/>
        <v>96</v>
      </c>
      <c r="B105" s="24" t="s">
        <v>31</v>
      </c>
      <c r="C105" s="24">
        <v>180.0</v>
      </c>
      <c r="D105" s="24">
        <v>16.0</v>
      </c>
      <c r="E105" s="24">
        <v>0.635</v>
      </c>
      <c r="F105" s="24">
        <v>11.0</v>
      </c>
      <c r="G105" s="24" t="s">
        <v>32</v>
      </c>
      <c r="H105" s="25" t="s">
        <v>21</v>
      </c>
      <c r="I105" s="24" t="s">
        <v>19</v>
      </c>
      <c r="J105" s="24" t="s">
        <v>22</v>
      </c>
      <c r="K105" s="26">
        <f t="shared" si="1"/>
        <v>14.18</v>
      </c>
      <c r="L105" s="27">
        <v>0.700000000000002</v>
      </c>
      <c r="M105" s="28">
        <f t="shared" si="89"/>
        <v>91</v>
      </c>
      <c r="N105" s="37">
        <f t="shared" ref="N105:P105" si="94">N104 + SWITCH($I105,CONCATENATE("+",N$9), 1, CONCATENATE("-",N$9), -1, 0)*$K105 + SWITCH($J105,CONCATENATE("+",N$9), 1, CONCATENATE("-",N$9), -1, 0)*SWITCH(MOD($A105-$M105,2),1,1,0,-1)*$L105</f>
        <v>-167.4</v>
      </c>
      <c r="O105" s="26">
        <f t="shared" si="94"/>
        <v>-85.4</v>
      </c>
      <c r="P105" s="35">
        <f t="shared" si="94"/>
        <v>208.21</v>
      </c>
      <c r="Q105" s="32">
        <v>1.006E8</v>
      </c>
    </row>
    <row r="106">
      <c r="A106" s="36">
        <f t="shared" si="4"/>
        <v>97</v>
      </c>
      <c r="B106" s="24" t="s">
        <v>31</v>
      </c>
      <c r="C106" s="24">
        <v>180.0</v>
      </c>
      <c r="D106" s="24">
        <v>16.0</v>
      </c>
      <c r="E106" s="24">
        <v>0.635</v>
      </c>
      <c r="F106" s="24">
        <v>12.0</v>
      </c>
      <c r="G106" s="24" t="s">
        <v>32</v>
      </c>
      <c r="H106" s="24" t="s">
        <v>19</v>
      </c>
      <c r="I106" s="24" t="s">
        <v>18</v>
      </c>
      <c r="J106" s="24" t="s">
        <v>22</v>
      </c>
      <c r="K106" s="26">
        <f t="shared" si="1"/>
        <v>14.18</v>
      </c>
      <c r="L106" s="27">
        <v>0.700000000000002</v>
      </c>
      <c r="M106" s="28">
        <f t="shared" ref="M106:M111" si="95">$A$106</f>
        <v>97</v>
      </c>
      <c r="N106" s="37">
        <v>0.0</v>
      </c>
      <c r="O106" s="27">
        <v>-96.5</v>
      </c>
      <c r="P106" s="38">
        <v>206.23</v>
      </c>
      <c r="Q106" s="32">
        <v>1.001005E8</v>
      </c>
    </row>
    <row r="107">
      <c r="A107" s="33">
        <f t="shared" si="4"/>
        <v>98</v>
      </c>
      <c r="B107" s="24" t="s">
        <v>31</v>
      </c>
      <c r="C107" s="39">
        <v>149.0</v>
      </c>
      <c r="D107" s="24">
        <v>16.0</v>
      </c>
      <c r="E107" s="24">
        <v>0.635</v>
      </c>
      <c r="F107" s="24">
        <v>12.0</v>
      </c>
      <c r="G107" s="24" t="s">
        <v>32</v>
      </c>
      <c r="H107" s="24" t="s">
        <v>19</v>
      </c>
      <c r="I107" s="24" t="s">
        <v>18</v>
      </c>
      <c r="J107" s="24" t="s">
        <v>22</v>
      </c>
      <c r="K107" s="26">
        <f t="shared" si="1"/>
        <v>14.18</v>
      </c>
      <c r="L107" s="27">
        <v>0.700000000000002</v>
      </c>
      <c r="M107" s="28">
        <f t="shared" si="95"/>
        <v>97</v>
      </c>
      <c r="N107" s="37">
        <f t="shared" ref="N107:P107" si="96">N106 + SWITCH($I107,CONCATENATE("+",N$9), 1, CONCATENATE("-",N$9), -1, 0)*$K107 + SWITCH($J107,CONCATENATE("+",N$9), 1, CONCATENATE("-",N$9), -1, 0)*SWITCH(MOD($A107-$M107,2),1,1,0,-1)*$L107</f>
        <v>0</v>
      </c>
      <c r="O107" s="26">
        <f t="shared" si="96"/>
        <v>-110.68</v>
      </c>
      <c r="P107" s="35">
        <f t="shared" si="96"/>
        <v>205.53</v>
      </c>
      <c r="Q107" s="32">
        <v>1.001004E8</v>
      </c>
    </row>
    <row r="108">
      <c r="A108" s="33">
        <f t="shared" si="4"/>
        <v>99</v>
      </c>
      <c r="B108" s="24" t="s">
        <v>31</v>
      </c>
      <c r="C108" s="24">
        <v>180.0</v>
      </c>
      <c r="D108" s="24">
        <v>16.0</v>
      </c>
      <c r="E108" s="24">
        <v>0.635</v>
      </c>
      <c r="F108" s="24">
        <v>12.0</v>
      </c>
      <c r="G108" s="24" t="s">
        <v>32</v>
      </c>
      <c r="H108" s="24" t="s">
        <v>19</v>
      </c>
      <c r="I108" s="24" t="s">
        <v>18</v>
      </c>
      <c r="J108" s="24" t="s">
        <v>22</v>
      </c>
      <c r="K108" s="26">
        <f t="shared" si="1"/>
        <v>14.18</v>
      </c>
      <c r="L108" s="27">
        <v>0.700000000000002</v>
      </c>
      <c r="M108" s="28">
        <f t="shared" si="95"/>
        <v>97</v>
      </c>
      <c r="N108" s="37">
        <f t="shared" ref="N108:P108" si="97">N107 + SWITCH($I108,CONCATENATE("+",N$9), 1, CONCATENATE("-",N$9), -1, 0)*$K108 + SWITCH($J108,CONCATENATE("+",N$9), 1, CONCATENATE("-",N$9), -1, 0)*SWITCH(MOD($A108-$M108,2),1,1,0,-1)*$L108</f>
        <v>0</v>
      </c>
      <c r="O108" s="26">
        <f t="shared" si="97"/>
        <v>-124.86</v>
      </c>
      <c r="P108" s="35">
        <f t="shared" si="97"/>
        <v>206.23</v>
      </c>
      <c r="Q108" s="32">
        <v>1.001003E8</v>
      </c>
    </row>
    <row r="109">
      <c r="A109" s="33">
        <f t="shared" si="4"/>
        <v>100</v>
      </c>
      <c r="B109" s="24" t="s">
        <v>31</v>
      </c>
      <c r="C109" s="24">
        <v>180.0</v>
      </c>
      <c r="D109" s="24">
        <v>16.0</v>
      </c>
      <c r="E109" s="24">
        <v>0.635</v>
      </c>
      <c r="F109" s="24">
        <v>12.0</v>
      </c>
      <c r="G109" s="24" t="s">
        <v>32</v>
      </c>
      <c r="H109" s="24" t="s">
        <v>19</v>
      </c>
      <c r="I109" s="24" t="s">
        <v>18</v>
      </c>
      <c r="J109" s="24" t="s">
        <v>22</v>
      </c>
      <c r="K109" s="26">
        <f t="shared" si="1"/>
        <v>14.18</v>
      </c>
      <c r="L109" s="27">
        <v>0.700000000000002</v>
      </c>
      <c r="M109" s="28">
        <f t="shared" si="95"/>
        <v>97</v>
      </c>
      <c r="N109" s="37">
        <f t="shared" ref="N109:P109" si="98">N108 + SWITCH($I109,CONCATENATE("+",N$9), 1, CONCATENATE("-",N$9), -1, 0)*$K109 + SWITCH($J109,CONCATENATE("+",N$9), 1, CONCATENATE("-",N$9), -1, 0)*SWITCH(MOD($A109-$M109,2),1,1,0,-1)*$L109</f>
        <v>0</v>
      </c>
      <c r="O109" s="26">
        <f t="shared" si="98"/>
        <v>-139.04</v>
      </c>
      <c r="P109" s="35">
        <f t="shared" si="98"/>
        <v>205.53</v>
      </c>
      <c r="Q109" s="32">
        <v>1.001002E8</v>
      </c>
    </row>
    <row r="110">
      <c r="A110" s="33">
        <f t="shared" si="4"/>
        <v>101</v>
      </c>
      <c r="B110" s="24" t="s">
        <v>31</v>
      </c>
      <c r="C110" s="24">
        <v>180.0</v>
      </c>
      <c r="D110" s="24">
        <v>16.0</v>
      </c>
      <c r="E110" s="24">
        <v>0.635</v>
      </c>
      <c r="F110" s="24">
        <v>12.0</v>
      </c>
      <c r="G110" s="24" t="s">
        <v>32</v>
      </c>
      <c r="H110" s="24" t="s">
        <v>19</v>
      </c>
      <c r="I110" s="24" t="s">
        <v>18</v>
      </c>
      <c r="J110" s="24" t="s">
        <v>22</v>
      </c>
      <c r="K110" s="26">
        <f t="shared" si="1"/>
        <v>14.18</v>
      </c>
      <c r="L110" s="27">
        <v>0.700000000000002</v>
      </c>
      <c r="M110" s="28">
        <f t="shared" si="95"/>
        <v>97</v>
      </c>
      <c r="N110" s="37">
        <f t="shared" ref="N110:P110" si="99">N109 + SWITCH($I110,CONCATENATE("+",N$9), 1, CONCATENATE("-",N$9), -1, 0)*$K110 + SWITCH($J110,CONCATENATE("+",N$9), 1, CONCATENATE("-",N$9), -1, 0)*SWITCH(MOD($A110-$M110,2),1,1,0,-1)*$L110</f>
        <v>0</v>
      </c>
      <c r="O110" s="26">
        <f t="shared" si="99"/>
        <v>-153.22</v>
      </c>
      <c r="P110" s="35">
        <f t="shared" si="99"/>
        <v>206.23</v>
      </c>
      <c r="Q110" s="32">
        <v>1.001001E8</v>
      </c>
    </row>
    <row r="111">
      <c r="A111" s="33">
        <f t="shared" si="4"/>
        <v>102</v>
      </c>
      <c r="B111" s="24" t="s">
        <v>31</v>
      </c>
      <c r="C111" s="24">
        <v>180.0</v>
      </c>
      <c r="D111" s="24">
        <v>16.0</v>
      </c>
      <c r="E111" s="24">
        <v>0.635</v>
      </c>
      <c r="F111" s="24">
        <v>12.0</v>
      </c>
      <c r="G111" s="24" t="s">
        <v>32</v>
      </c>
      <c r="H111" s="24" t="s">
        <v>19</v>
      </c>
      <c r="I111" s="24" t="s">
        <v>18</v>
      </c>
      <c r="J111" s="24" t="s">
        <v>22</v>
      </c>
      <c r="K111" s="26">
        <f t="shared" si="1"/>
        <v>14.18</v>
      </c>
      <c r="L111" s="27">
        <v>0.700000000000002</v>
      </c>
      <c r="M111" s="28">
        <f t="shared" si="95"/>
        <v>97</v>
      </c>
      <c r="N111" s="37">
        <f t="shared" ref="N111:P111" si="100">N110 + SWITCH($I111,CONCATENATE("+",N$9), 1, CONCATENATE("-",N$9), -1, 0)*$K111 + SWITCH($J111,CONCATENATE("+",N$9), 1, CONCATENATE("-",N$9), -1, 0)*SWITCH(MOD($A111-$M111,2),1,1,0,-1)*$L111</f>
        <v>0</v>
      </c>
      <c r="O111" s="26">
        <f t="shared" si="100"/>
        <v>-167.4</v>
      </c>
      <c r="P111" s="35">
        <f t="shared" si="100"/>
        <v>205.53</v>
      </c>
      <c r="Q111" s="32">
        <v>1.001E8</v>
      </c>
    </row>
    <row r="112">
      <c r="A112" s="36">
        <f t="shared" si="4"/>
        <v>103</v>
      </c>
      <c r="B112" s="24" t="s">
        <v>31</v>
      </c>
      <c r="C112" s="24">
        <v>180.0</v>
      </c>
      <c r="D112" s="24">
        <v>16.0</v>
      </c>
      <c r="E112" s="24">
        <v>0.635</v>
      </c>
      <c r="F112" s="24">
        <v>13.0</v>
      </c>
      <c r="G112" s="24" t="s">
        <v>32</v>
      </c>
      <c r="H112" s="24" t="s">
        <v>18</v>
      </c>
      <c r="I112" s="25" t="s">
        <v>24</v>
      </c>
      <c r="J112" s="24" t="s">
        <v>22</v>
      </c>
      <c r="K112" s="26">
        <f t="shared" si="1"/>
        <v>14.18</v>
      </c>
      <c r="L112" s="27">
        <v>0.700000000000002</v>
      </c>
      <c r="M112" s="28">
        <f t="shared" ref="M112:M117" si="101">$A$112</f>
        <v>103</v>
      </c>
      <c r="N112" s="37">
        <v>96.5</v>
      </c>
      <c r="O112" s="27">
        <v>-85.4</v>
      </c>
      <c r="P112" s="38">
        <v>210.61</v>
      </c>
      <c r="Q112" s="32">
        <v>1.005005E8</v>
      </c>
    </row>
    <row r="113">
      <c r="A113" s="33">
        <f t="shared" si="4"/>
        <v>104</v>
      </c>
      <c r="B113" s="24" t="s">
        <v>31</v>
      </c>
      <c r="C113" s="24">
        <v>180.0</v>
      </c>
      <c r="D113" s="24">
        <v>16.0</v>
      </c>
      <c r="E113" s="24">
        <v>0.635</v>
      </c>
      <c r="F113" s="24">
        <v>13.0</v>
      </c>
      <c r="G113" s="24" t="s">
        <v>32</v>
      </c>
      <c r="H113" s="24" t="s">
        <v>18</v>
      </c>
      <c r="I113" s="25" t="s">
        <v>24</v>
      </c>
      <c r="J113" s="24" t="s">
        <v>22</v>
      </c>
      <c r="K113" s="26">
        <f t="shared" si="1"/>
        <v>14.18</v>
      </c>
      <c r="L113" s="27">
        <v>0.700000000000002</v>
      </c>
      <c r="M113" s="28">
        <f t="shared" si="101"/>
        <v>103</v>
      </c>
      <c r="N113" s="37">
        <f t="shared" ref="N113:P113" si="102">N112 + SWITCH($I113,CONCATENATE("+",N$9), 1, CONCATENATE("-",N$9), -1, 0)*$K113 + SWITCH($J113,CONCATENATE("+",N$9), 1, CONCATENATE("-",N$9), -1, 0)*SWITCH(MOD($A113-$M113,2),1,1,0,-1)*$L113</f>
        <v>110.68</v>
      </c>
      <c r="O113" s="26">
        <f t="shared" si="102"/>
        <v>-85.4</v>
      </c>
      <c r="P113" s="35">
        <f t="shared" si="102"/>
        <v>209.91</v>
      </c>
      <c r="Q113" s="32">
        <v>1.005004E8</v>
      </c>
    </row>
    <row r="114">
      <c r="A114" s="33">
        <f t="shared" si="4"/>
        <v>105</v>
      </c>
      <c r="B114" s="24" t="s">
        <v>31</v>
      </c>
      <c r="C114" s="24">
        <v>180.0</v>
      </c>
      <c r="D114" s="24">
        <v>16.0</v>
      </c>
      <c r="E114" s="24">
        <v>0.634999999999999</v>
      </c>
      <c r="F114" s="24">
        <v>13.0</v>
      </c>
      <c r="G114" s="24" t="s">
        <v>32</v>
      </c>
      <c r="H114" s="24" t="s">
        <v>18</v>
      </c>
      <c r="I114" s="25" t="s">
        <v>24</v>
      </c>
      <c r="J114" s="24" t="s">
        <v>22</v>
      </c>
      <c r="K114" s="26">
        <f t="shared" si="1"/>
        <v>14.18</v>
      </c>
      <c r="L114" s="27">
        <v>0.700000000000002</v>
      </c>
      <c r="M114" s="28">
        <f t="shared" si="101"/>
        <v>103</v>
      </c>
      <c r="N114" s="37">
        <f t="shared" ref="N114:P114" si="103">N113 + SWITCH($I114,CONCATENATE("+",N$9), 1, CONCATENATE("-",N$9), -1, 0)*$K114 + SWITCH($J114,CONCATENATE("+",N$9), 1, CONCATENATE("-",N$9), -1, 0)*SWITCH(MOD($A114-$M114,2),1,1,0,-1)*$L114</f>
        <v>124.86</v>
      </c>
      <c r="O114" s="26">
        <f t="shared" si="103"/>
        <v>-85.4</v>
      </c>
      <c r="P114" s="35">
        <f t="shared" si="103"/>
        <v>210.61</v>
      </c>
      <c r="Q114" s="32">
        <v>1.005003E8</v>
      </c>
    </row>
    <row r="115">
      <c r="A115" s="33">
        <f t="shared" si="4"/>
        <v>106</v>
      </c>
      <c r="B115" s="24" t="s">
        <v>31</v>
      </c>
      <c r="C115" s="24">
        <v>180.0</v>
      </c>
      <c r="D115" s="24">
        <v>16.0</v>
      </c>
      <c r="E115" s="24">
        <v>0.634999999999999</v>
      </c>
      <c r="F115" s="24">
        <v>13.0</v>
      </c>
      <c r="G115" s="24" t="s">
        <v>32</v>
      </c>
      <c r="H115" s="24" t="s">
        <v>18</v>
      </c>
      <c r="I115" s="25" t="s">
        <v>24</v>
      </c>
      <c r="J115" s="24" t="s">
        <v>22</v>
      </c>
      <c r="K115" s="26">
        <f t="shared" si="1"/>
        <v>14.18</v>
      </c>
      <c r="L115" s="27">
        <v>0.700000000000002</v>
      </c>
      <c r="M115" s="28">
        <f t="shared" si="101"/>
        <v>103</v>
      </c>
      <c r="N115" s="37">
        <f t="shared" ref="N115:P115" si="104">N114 + SWITCH($I115,CONCATENATE("+",N$9), 1, CONCATENATE("-",N$9), -1, 0)*$K115 + SWITCH($J115,CONCATENATE("+",N$9), 1, CONCATENATE("-",N$9), -1, 0)*SWITCH(MOD($A115-$M115,2),1,1,0,-1)*$L115</f>
        <v>139.04</v>
      </c>
      <c r="O115" s="26">
        <f t="shared" si="104"/>
        <v>-85.4</v>
      </c>
      <c r="P115" s="35">
        <f t="shared" si="104"/>
        <v>209.91</v>
      </c>
      <c r="Q115" s="32">
        <v>1.005002E8</v>
      </c>
    </row>
    <row r="116">
      <c r="A116" s="33">
        <f t="shared" si="4"/>
        <v>107</v>
      </c>
      <c r="B116" s="24" t="s">
        <v>31</v>
      </c>
      <c r="C116" s="24">
        <v>180.0</v>
      </c>
      <c r="D116" s="24">
        <v>16.0</v>
      </c>
      <c r="E116" s="24">
        <v>0.634999999999999</v>
      </c>
      <c r="F116" s="24">
        <v>13.0</v>
      </c>
      <c r="G116" s="24" t="s">
        <v>32</v>
      </c>
      <c r="H116" s="24" t="s">
        <v>18</v>
      </c>
      <c r="I116" s="25" t="s">
        <v>24</v>
      </c>
      <c r="J116" s="24" t="s">
        <v>22</v>
      </c>
      <c r="K116" s="26">
        <f t="shared" si="1"/>
        <v>14.18</v>
      </c>
      <c r="L116" s="27">
        <v>0.700000000000002</v>
      </c>
      <c r="M116" s="28">
        <f t="shared" si="101"/>
        <v>103</v>
      </c>
      <c r="N116" s="37">
        <f t="shared" ref="N116:P116" si="105">N115 + SWITCH($I116,CONCATENATE("+",N$9), 1, CONCATENATE("-",N$9), -1, 0)*$K116 + SWITCH($J116,CONCATENATE("+",N$9), 1, CONCATENATE("-",N$9), -1, 0)*SWITCH(MOD($A116-$M116,2),1,1,0,-1)*$L116</f>
        <v>153.22</v>
      </c>
      <c r="O116" s="26">
        <f t="shared" si="105"/>
        <v>-85.4</v>
      </c>
      <c r="P116" s="35">
        <f t="shared" si="105"/>
        <v>210.61</v>
      </c>
      <c r="Q116" s="32">
        <v>1.005001E8</v>
      </c>
    </row>
    <row r="117">
      <c r="A117" s="33">
        <f t="shared" si="4"/>
        <v>108</v>
      </c>
      <c r="B117" s="24" t="s">
        <v>31</v>
      </c>
      <c r="C117" s="24">
        <v>180.0</v>
      </c>
      <c r="D117" s="24">
        <v>16.0</v>
      </c>
      <c r="E117" s="24">
        <v>0.634999999999999</v>
      </c>
      <c r="F117" s="24">
        <v>13.0</v>
      </c>
      <c r="G117" s="24" t="s">
        <v>32</v>
      </c>
      <c r="H117" s="24" t="s">
        <v>18</v>
      </c>
      <c r="I117" s="25" t="s">
        <v>24</v>
      </c>
      <c r="J117" s="24" t="s">
        <v>22</v>
      </c>
      <c r="K117" s="26">
        <f t="shared" si="1"/>
        <v>14.18</v>
      </c>
      <c r="L117" s="27">
        <v>0.700000000000002</v>
      </c>
      <c r="M117" s="28">
        <f t="shared" si="101"/>
        <v>103</v>
      </c>
      <c r="N117" s="37">
        <v>118.31</v>
      </c>
      <c r="O117" s="27">
        <v>0.0</v>
      </c>
      <c r="P117" s="35">
        <f>P116 + SWITCH($I117,CONCATENATE("+",P$9), 1, CONCATENATE("-",P$9), -1, 0)*$K117 + SWITCH($J117,CONCATENATE("+",P$9), 1, CONCATENATE("-",P$9), -1, 0)*SWITCH(MOD($A117-$M117,2),1,1,0,-1)*$L117</f>
        <v>209.91</v>
      </c>
      <c r="Q117" s="32">
        <v>1.005E8</v>
      </c>
    </row>
    <row r="118">
      <c r="A118" s="36">
        <f t="shared" si="4"/>
        <v>109</v>
      </c>
      <c r="B118" s="24" t="s">
        <v>34</v>
      </c>
      <c r="C118" s="24">
        <v>172.0</v>
      </c>
      <c r="D118" s="24">
        <v>16.0</v>
      </c>
      <c r="E118" s="24">
        <v>0.634999999999999</v>
      </c>
      <c r="F118" s="24">
        <v>14.0</v>
      </c>
      <c r="G118" s="24" t="s">
        <v>35</v>
      </c>
      <c r="H118" s="25" t="s">
        <v>21</v>
      </c>
      <c r="I118" s="24" t="s">
        <v>22</v>
      </c>
      <c r="J118" s="25" t="s">
        <v>24</v>
      </c>
      <c r="K118" s="26">
        <f t="shared" si="1"/>
        <v>14.67</v>
      </c>
      <c r="L118" s="27">
        <v>0.700000000000002</v>
      </c>
      <c r="M118" s="28">
        <f t="shared" ref="M118:M127" si="107">$A$118</f>
        <v>109</v>
      </c>
      <c r="N118" s="37">
        <f t="shared" ref="N118:O118" si="106">N117 + SWITCH($I118,CONCATENATE("+",N$9), 1, CONCATENATE("-",N$9), -1, 0)*$K118 + SWITCH($J118,CONCATENATE("+",N$9), 1, CONCATENATE("-",N$9), -1, 0)*SWITCH(MOD($A118-$M118,2),1,1,0,-1)*$L118</f>
        <v>117.61</v>
      </c>
      <c r="O118" s="26">
        <f t="shared" si="106"/>
        <v>0</v>
      </c>
      <c r="P118" s="38">
        <v>140.93</v>
      </c>
      <c r="Q118" s="32">
        <v>1.002009E8</v>
      </c>
    </row>
    <row r="119">
      <c r="A119" s="33">
        <f t="shared" si="4"/>
        <v>110</v>
      </c>
      <c r="B119" s="24" t="s">
        <v>34</v>
      </c>
      <c r="C119" s="24">
        <v>172.0</v>
      </c>
      <c r="D119" s="24">
        <v>16.0</v>
      </c>
      <c r="E119" s="24">
        <v>0.634999999999999</v>
      </c>
      <c r="F119" s="24">
        <v>14.0</v>
      </c>
      <c r="G119" s="24" t="s">
        <v>35</v>
      </c>
      <c r="H119" s="25" t="s">
        <v>21</v>
      </c>
      <c r="I119" s="24" t="s">
        <v>22</v>
      </c>
      <c r="J119" s="25" t="s">
        <v>24</v>
      </c>
      <c r="K119" s="26">
        <f t="shared" si="1"/>
        <v>14.67</v>
      </c>
      <c r="L119" s="27">
        <v>0.700000000000002</v>
      </c>
      <c r="M119" s="28">
        <f t="shared" si="107"/>
        <v>109</v>
      </c>
      <c r="N119" s="37">
        <f t="shared" ref="N119:P119" si="108">N118 + SWITCH($I119,CONCATENATE("+",N$9), 1, CONCATENATE("-",N$9), -1, 0)*$K119 + SWITCH($J119,CONCATENATE("+",N$9), 1, CONCATENATE("-",N$9), -1, 0)*SWITCH(MOD($A119-$M119,2),1,1,0,-1)*$L119</f>
        <v>118.31</v>
      </c>
      <c r="O119" s="26">
        <f t="shared" si="108"/>
        <v>0</v>
      </c>
      <c r="P119" s="35">
        <f t="shared" si="108"/>
        <v>126.26</v>
      </c>
      <c r="Q119" s="32">
        <v>1.002008E8</v>
      </c>
    </row>
    <row r="120">
      <c r="A120" s="33">
        <f t="shared" si="4"/>
        <v>111</v>
      </c>
      <c r="B120" s="24" t="s">
        <v>34</v>
      </c>
      <c r="C120" s="24">
        <v>172.0</v>
      </c>
      <c r="D120" s="24">
        <v>16.0</v>
      </c>
      <c r="E120" s="24">
        <v>0.634999999999999</v>
      </c>
      <c r="F120" s="24">
        <v>14.0</v>
      </c>
      <c r="G120" s="24" t="s">
        <v>35</v>
      </c>
      <c r="H120" s="25" t="s">
        <v>21</v>
      </c>
      <c r="I120" s="24" t="s">
        <v>22</v>
      </c>
      <c r="J120" s="25" t="s">
        <v>24</v>
      </c>
      <c r="K120" s="26">
        <f t="shared" si="1"/>
        <v>14.67</v>
      </c>
      <c r="L120" s="27">
        <v>0.700000000000002</v>
      </c>
      <c r="M120" s="28">
        <f t="shared" si="107"/>
        <v>109</v>
      </c>
      <c r="N120" s="37">
        <f t="shared" ref="N120:P120" si="109">N119 + SWITCH($I120,CONCATENATE("+",N$9), 1, CONCATENATE("-",N$9), -1, 0)*$K120 + SWITCH($J120,CONCATENATE("+",N$9), 1, CONCATENATE("-",N$9), -1, 0)*SWITCH(MOD($A120-$M120,2),1,1,0,-1)*$L120</f>
        <v>117.61</v>
      </c>
      <c r="O120" s="26">
        <f t="shared" si="109"/>
        <v>0</v>
      </c>
      <c r="P120" s="35">
        <f t="shared" si="109"/>
        <v>111.59</v>
      </c>
      <c r="Q120" s="32">
        <v>1.002007E8</v>
      </c>
    </row>
    <row r="121">
      <c r="A121" s="33">
        <f t="shared" si="4"/>
        <v>112</v>
      </c>
      <c r="B121" s="24" t="s">
        <v>34</v>
      </c>
      <c r="C121" s="24">
        <v>172.0</v>
      </c>
      <c r="D121" s="24">
        <v>16.0</v>
      </c>
      <c r="E121" s="24">
        <v>0.634999999999999</v>
      </c>
      <c r="F121" s="24">
        <v>14.0</v>
      </c>
      <c r="G121" s="24" t="s">
        <v>35</v>
      </c>
      <c r="H121" s="25" t="s">
        <v>21</v>
      </c>
      <c r="I121" s="24" t="s">
        <v>22</v>
      </c>
      <c r="J121" s="25" t="s">
        <v>24</v>
      </c>
      <c r="K121" s="26">
        <f t="shared" si="1"/>
        <v>14.67</v>
      </c>
      <c r="L121" s="27">
        <v>0.700000000000002</v>
      </c>
      <c r="M121" s="28">
        <f t="shared" si="107"/>
        <v>109</v>
      </c>
      <c r="N121" s="37">
        <f t="shared" ref="N121:P121" si="110">N120 + SWITCH($I121,CONCATENATE("+",N$9), 1, CONCATENATE("-",N$9), -1, 0)*$K121 + SWITCH($J121,CONCATENATE("+",N$9), 1, CONCATENATE("-",N$9), -1, 0)*SWITCH(MOD($A121-$M121,2),1,1,0,-1)*$L121</f>
        <v>118.31</v>
      </c>
      <c r="O121" s="26">
        <f t="shared" si="110"/>
        <v>0</v>
      </c>
      <c r="P121" s="35">
        <f t="shared" si="110"/>
        <v>96.92</v>
      </c>
      <c r="Q121" s="32">
        <v>1.002006E8</v>
      </c>
    </row>
    <row r="122">
      <c r="A122" s="33">
        <f t="shared" si="4"/>
        <v>113</v>
      </c>
      <c r="B122" s="24" t="s">
        <v>34</v>
      </c>
      <c r="C122" s="24">
        <v>172.0</v>
      </c>
      <c r="D122" s="24">
        <v>16.0</v>
      </c>
      <c r="E122" s="24">
        <v>0.634999999999999</v>
      </c>
      <c r="F122" s="24">
        <v>14.0</v>
      </c>
      <c r="G122" s="24" t="s">
        <v>35</v>
      </c>
      <c r="H122" s="25" t="s">
        <v>21</v>
      </c>
      <c r="I122" s="24" t="s">
        <v>22</v>
      </c>
      <c r="J122" s="25" t="s">
        <v>24</v>
      </c>
      <c r="K122" s="26">
        <f t="shared" si="1"/>
        <v>14.67</v>
      </c>
      <c r="L122" s="27">
        <v>0.700000000000002</v>
      </c>
      <c r="M122" s="28">
        <f t="shared" si="107"/>
        <v>109</v>
      </c>
      <c r="N122" s="37">
        <f t="shared" ref="N122:P122" si="111">N121 + SWITCH($I122,CONCATENATE("+",N$9), 1, CONCATENATE("-",N$9), -1, 0)*$K122 + SWITCH($J122,CONCATENATE("+",N$9), 1, CONCATENATE("-",N$9), -1, 0)*SWITCH(MOD($A122-$M122,2),1,1,0,-1)*$L122</f>
        <v>117.61</v>
      </c>
      <c r="O122" s="26">
        <f t="shared" si="111"/>
        <v>0</v>
      </c>
      <c r="P122" s="35">
        <f t="shared" si="111"/>
        <v>82.25</v>
      </c>
      <c r="Q122" s="32">
        <v>1.002005E8</v>
      </c>
    </row>
    <row r="123">
      <c r="A123" s="33">
        <f t="shared" si="4"/>
        <v>114</v>
      </c>
      <c r="B123" s="24" t="s">
        <v>34</v>
      </c>
      <c r="C123" s="24">
        <v>172.0</v>
      </c>
      <c r="D123" s="24">
        <v>16.0</v>
      </c>
      <c r="E123" s="24">
        <v>0.634999999999999</v>
      </c>
      <c r="F123" s="24">
        <v>14.0</v>
      </c>
      <c r="G123" s="24" t="s">
        <v>35</v>
      </c>
      <c r="H123" s="25" t="s">
        <v>21</v>
      </c>
      <c r="I123" s="24" t="s">
        <v>22</v>
      </c>
      <c r="J123" s="25" t="s">
        <v>24</v>
      </c>
      <c r="K123" s="26">
        <f t="shared" si="1"/>
        <v>14.67</v>
      </c>
      <c r="L123" s="27">
        <v>0.700000000000002</v>
      </c>
      <c r="M123" s="28">
        <f t="shared" si="107"/>
        <v>109</v>
      </c>
      <c r="N123" s="37">
        <f t="shared" ref="N123:P123" si="112">N122 + SWITCH($I123,CONCATENATE("+",N$9), 1, CONCATENATE("-",N$9), -1, 0)*$K123 + SWITCH($J123,CONCATENATE("+",N$9), 1, CONCATENATE("-",N$9), -1, 0)*SWITCH(MOD($A123-$M123,2),1,1,0,-1)*$L123</f>
        <v>118.31</v>
      </c>
      <c r="O123" s="26">
        <f t="shared" si="112"/>
        <v>0</v>
      </c>
      <c r="P123" s="35">
        <f t="shared" si="112"/>
        <v>67.58</v>
      </c>
      <c r="Q123" s="32">
        <v>1.002004E8</v>
      </c>
    </row>
    <row r="124">
      <c r="A124" s="33">
        <f t="shared" si="4"/>
        <v>115</v>
      </c>
      <c r="B124" s="24" t="s">
        <v>34</v>
      </c>
      <c r="C124" s="24">
        <v>172.0</v>
      </c>
      <c r="D124" s="24">
        <v>16.0</v>
      </c>
      <c r="E124" s="24">
        <v>0.634999999999999</v>
      </c>
      <c r="F124" s="24">
        <v>14.0</v>
      </c>
      <c r="G124" s="24" t="s">
        <v>35</v>
      </c>
      <c r="H124" s="25" t="s">
        <v>21</v>
      </c>
      <c r="I124" s="24" t="s">
        <v>22</v>
      </c>
      <c r="J124" s="25" t="s">
        <v>24</v>
      </c>
      <c r="K124" s="26">
        <f t="shared" si="1"/>
        <v>14.67</v>
      </c>
      <c r="L124" s="27">
        <v>0.700000000000002</v>
      </c>
      <c r="M124" s="28">
        <f t="shared" si="107"/>
        <v>109</v>
      </c>
      <c r="N124" s="37">
        <f t="shared" ref="N124:P124" si="113">N123 + SWITCH($I124,CONCATENATE("+",N$9), 1, CONCATENATE("-",N$9), -1, 0)*$K124 + SWITCH($J124,CONCATENATE("+",N$9), 1, CONCATENATE("-",N$9), -1, 0)*SWITCH(MOD($A124-$M124,2),1,1,0,-1)*$L124</f>
        <v>117.61</v>
      </c>
      <c r="O124" s="26">
        <f t="shared" si="113"/>
        <v>0</v>
      </c>
      <c r="P124" s="35">
        <f t="shared" si="113"/>
        <v>52.91</v>
      </c>
      <c r="Q124" s="32">
        <v>1.002003E8</v>
      </c>
    </row>
    <row r="125">
      <c r="A125" s="33">
        <f t="shared" si="4"/>
        <v>116</v>
      </c>
      <c r="B125" s="24" t="s">
        <v>34</v>
      </c>
      <c r="C125" s="24">
        <v>172.0</v>
      </c>
      <c r="D125" s="24">
        <v>16.0</v>
      </c>
      <c r="E125" s="24">
        <v>0.634999999999999</v>
      </c>
      <c r="F125" s="24">
        <v>14.0</v>
      </c>
      <c r="G125" s="24" t="s">
        <v>35</v>
      </c>
      <c r="H125" s="25" t="s">
        <v>21</v>
      </c>
      <c r="I125" s="24" t="s">
        <v>22</v>
      </c>
      <c r="J125" s="25" t="s">
        <v>24</v>
      </c>
      <c r="K125" s="26">
        <f t="shared" si="1"/>
        <v>14.67</v>
      </c>
      <c r="L125" s="27">
        <v>0.700000000000002</v>
      </c>
      <c r="M125" s="28">
        <f t="shared" si="107"/>
        <v>109</v>
      </c>
      <c r="N125" s="37">
        <f t="shared" ref="N125:P125" si="114">N124 + SWITCH($I125,CONCATENATE("+",N$9), 1, CONCATENATE("-",N$9), -1, 0)*$K125 + SWITCH($J125,CONCATENATE("+",N$9), 1, CONCATENATE("-",N$9), -1, 0)*SWITCH(MOD($A125-$M125,2),1,1,0,-1)*$L125</f>
        <v>118.31</v>
      </c>
      <c r="O125" s="26">
        <f t="shared" si="114"/>
        <v>0</v>
      </c>
      <c r="P125" s="35">
        <f t="shared" si="114"/>
        <v>38.24</v>
      </c>
      <c r="Q125" s="32">
        <v>1.002002E8</v>
      </c>
    </row>
    <row r="126">
      <c r="A126" s="33">
        <f t="shared" si="4"/>
        <v>117</v>
      </c>
      <c r="B126" s="24" t="s">
        <v>34</v>
      </c>
      <c r="C126" s="24">
        <v>172.0</v>
      </c>
      <c r="D126" s="24">
        <v>16.0</v>
      </c>
      <c r="E126" s="24">
        <v>0.634999999999999</v>
      </c>
      <c r="F126" s="24">
        <v>14.0</v>
      </c>
      <c r="G126" s="24" t="s">
        <v>35</v>
      </c>
      <c r="H126" s="25" t="s">
        <v>21</v>
      </c>
      <c r="I126" s="24" t="s">
        <v>22</v>
      </c>
      <c r="J126" s="25" t="s">
        <v>24</v>
      </c>
      <c r="K126" s="26">
        <f t="shared" si="1"/>
        <v>14.67</v>
      </c>
      <c r="L126" s="27">
        <v>0.700000000000002</v>
      </c>
      <c r="M126" s="28">
        <f t="shared" si="107"/>
        <v>109</v>
      </c>
      <c r="N126" s="37">
        <f t="shared" ref="N126:P126" si="115">N125 + SWITCH($I126,CONCATENATE("+",N$9), 1, CONCATENATE("-",N$9), -1, 0)*$K126 + SWITCH($J126,CONCATENATE("+",N$9), 1, CONCATENATE("-",N$9), -1, 0)*SWITCH(MOD($A126-$M126,2),1,1,0,-1)*$L126</f>
        <v>117.61</v>
      </c>
      <c r="O126" s="26">
        <f t="shared" si="115"/>
        <v>0</v>
      </c>
      <c r="P126" s="35">
        <f t="shared" si="115"/>
        <v>23.57</v>
      </c>
      <c r="Q126" s="32">
        <v>1.002001E8</v>
      </c>
    </row>
    <row r="127">
      <c r="A127" s="33">
        <f t="shared" si="4"/>
        <v>118</v>
      </c>
      <c r="B127" s="24" t="s">
        <v>34</v>
      </c>
      <c r="C127" s="24">
        <v>172.0</v>
      </c>
      <c r="D127" s="24">
        <v>16.0</v>
      </c>
      <c r="E127" s="24">
        <v>0.634999999999999</v>
      </c>
      <c r="F127" s="24">
        <v>14.0</v>
      </c>
      <c r="G127" s="24" t="s">
        <v>35</v>
      </c>
      <c r="H127" s="25" t="s">
        <v>21</v>
      </c>
      <c r="I127" s="24" t="s">
        <v>22</v>
      </c>
      <c r="J127" s="25" t="s">
        <v>24</v>
      </c>
      <c r="K127" s="26">
        <f t="shared" si="1"/>
        <v>14.67</v>
      </c>
      <c r="L127" s="27">
        <v>0.700000000000002</v>
      </c>
      <c r="M127" s="28">
        <f t="shared" si="107"/>
        <v>109</v>
      </c>
      <c r="N127" s="37">
        <f t="shared" ref="N127:P127" si="116">N126 + SWITCH($I127,CONCATENATE("+",N$9), 1, CONCATENATE("-",N$9), -1, 0)*$K127 + SWITCH($J127,CONCATENATE("+",N$9), 1, CONCATENATE("-",N$9), -1, 0)*SWITCH(MOD($A127-$M127,2),1,1,0,-1)*$L127</f>
        <v>118.31</v>
      </c>
      <c r="O127" s="26">
        <f t="shared" si="116"/>
        <v>0</v>
      </c>
      <c r="P127" s="35">
        <f t="shared" si="116"/>
        <v>8.9</v>
      </c>
      <c r="Q127" s="32">
        <v>1.002E8</v>
      </c>
    </row>
    <row r="128">
      <c r="A128" s="36">
        <f t="shared" si="4"/>
        <v>119</v>
      </c>
      <c r="B128" s="24" t="s">
        <v>34</v>
      </c>
      <c r="C128" s="24">
        <v>172.0</v>
      </c>
      <c r="D128" s="24">
        <v>16.0</v>
      </c>
      <c r="E128" s="24">
        <v>0.634999999999999</v>
      </c>
      <c r="F128" s="24">
        <v>15.0</v>
      </c>
      <c r="G128" s="24" t="s">
        <v>35</v>
      </c>
      <c r="H128" s="24" t="s">
        <v>19</v>
      </c>
      <c r="I128" s="24" t="s">
        <v>22</v>
      </c>
      <c r="J128" s="25" t="s">
        <v>21</v>
      </c>
      <c r="K128" s="26">
        <f t="shared" si="1"/>
        <v>14.67</v>
      </c>
      <c r="L128" s="27">
        <v>0.700000000000002</v>
      </c>
      <c r="M128" s="28">
        <f t="shared" ref="M128:M137" si="117">$A$128</f>
        <v>119</v>
      </c>
      <c r="N128" s="37">
        <v>0.0</v>
      </c>
      <c r="O128" s="27">
        <v>118.31</v>
      </c>
      <c r="P128" s="38">
        <v>140.93</v>
      </c>
      <c r="Q128" s="32">
        <v>1.04E8</v>
      </c>
    </row>
    <row r="129">
      <c r="A129" s="33">
        <f t="shared" si="4"/>
        <v>120</v>
      </c>
      <c r="B129" s="24" t="s">
        <v>34</v>
      </c>
      <c r="C129" s="24">
        <v>172.0</v>
      </c>
      <c r="D129" s="24">
        <v>16.0</v>
      </c>
      <c r="E129" s="24">
        <v>0.634999999999999</v>
      </c>
      <c r="F129" s="24">
        <v>15.0</v>
      </c>
      <c r="G129" s="24" t="s">
        <v>35</v>
      </c>
      <c r="H129" s="24" t="s">
        <v>19</v>
      </c>
      <c r="I129" s="24" t="s">
        <v>22</v>
      </c>
      <c r="J129" s="25" t="s">
        <v>21</v>
      </c>
      <c r="K129" s="26">
        <f t="shared" si="1"/>
        <v>14.67</v>
      </c>
      <c r="L129" s="27">
        <v>0.700000000000002</v>
      </c>
      <c r="M129" s="28">
        <f t="shared" si="117"/>
        <v>119</v>
      </c>
      <c r="N129" s="37">
        <f t="shared" ref="N129:P129" si="118">N128 + SWITCH($I129,CONCATENATE("+",N$9), 1, CONCATENATE("-",N$9), -1, 0)*$K129 + SWITCH($J129,CONCATENATE("+",N$9), 1, CONCATENATE("-",N$9), -1, 0)*SWITCH(MOD($A129-$M129,2),1,1,0,-1)*$L129</f>
        <v>0</v>
      </c>
      <c r="O129" s="26">
        <f t="shared" si="118"/>
        <v>119.01</v>
      </c>
      <c r="P129" s="35">
        <f t="shared" si="118"/>
        <v>126.26</v>
      </c>
      <c r="Q129" s="32">
        <v>1.040001E8</v>
      </c>
    </row>
    <row r="130">
      <c r="A130" s="33">
        <f t="shared" si="4"/>
        <v>121</v>
      </c>
      <c r="B130" s="24" t="s">
        <v>34</v>
      </c>
      <c r="C130" s="24">
        <v>172.0</v>
      </c>
      <c r="D130" s="24">
        <v>16.0</v>
      </c>
      <c r="E130" s="24">
        <v>0.634999999999999</v>
      </c>
      <c r="F130" s="24">
        <v>15.0</v>
      </c>
      <c r="G130" s="24" t="s">
        <v>35</v>
      </c>
      <c r="H130" s="24" t="s">
        <v>19</v>
      </c>
      <c r="I130" s="24" t="s">
        <v>22</v>
      </c>
      <c r="J130" s="25" t="s">
        <v>21</v>
      </c>
      <c r="K130" s="26">
        <f t="shared" si="1"/>
        <v>14.67</v>
      </c>
      <c r="L130" s="27">
        <v>0.700000000000002</v>
      </c>
      <c r="M130" s="28">
        <f t="shared" si="117"/>
        <v>119</v>
      </c>
      <c r="N130" s="37">
        <f t="shared" ref="N130:P130" si="119">N129 + SWITCH($I130,CONCATENATE("+",N$9), 1, CONCATENATE("-",N$9), -1, 0)*$K130 + SWITCH($J130,CONCATENATE("+",N$9), 1, CONCATENATE("-",N$9), -1, 0)*SWITCH(MOD($A130-$M130,2),1,1,0,-1)*$L130</f>
        <v>0</v>
      </c>
      <c r="O130" s="26">
        <f t="shared" si="119"/>
        <v>118.31</v>
      </c>
      <c r="P130" s="35">
        <f t="shared" si="119"/>
        <v>111.59</v>
      </c>
      <c r="Q130" s="32">
        <v>1.040002E8</v>
      </c>
    </row>
    <row r="131">
      <c r="A131" s="33">
        <f t="shared" si="4"/>
        <v>122</v>
      </c>
      <c r="B131" s="24" t="s">
        <v>34</v>
      </c>
      <c r="C131" s="24">
        <v>172.0</v>
      </c>
      <c r="D131" s="24">
        <v>16.0</v>
      </c>
      <c r="E131" s="24">
        <v>0.634999999999999</v>
      </c>
      <c r="F131" s="24">
        <v>15.0</v>
      </c>
      <c r="G131" s="24" t="s">
        <v>35</v>
      </c>
      <c r="H131" s="24" t="s">
        <v>19</v>
      </c>
      <c r="I131" s="24" t="s">
        <v>22</v>
      </c>
      <c r="J131" s="25" t="s">
        <v>21</v>
      </c>
      <c r="K131" s="26">
        <f t="shared" si="1"/>
        <v>14.67</v>
      </c>
      <c r="L131" s="27">
        <v>0.700000000000002</v>
      </c>
      <c r="M131" s="28">
        <f t="shared" si="117"/>
        <v>119</v>
      </c>
      <c r="N131" s="37">
        <f t="shared" ref="N131:P131" si="120">N130 + SWITCH($I131,CONCATENATE("+",N$9), 1, CONCATENATE("-",N$9), -1, 0)*$K131 + SWITCH($J131,CONCATENATE("+",N$9), 1, CONCATENATE("-",N$9), -1, 0)*SWITCH(MOD($A131-$M131,2),1,1,0,-1)*$L131</f>
        <v>0</v>
      </c>
      <c r="O131" s="26">
        <f t="shared" si="120"/>
        <v>119.01</v>
      </c>
      <c r="P131" s="35">
        <f t="shared" si="120"/>
        <v>96.92</v>
      </c>
      <c r="Q131" s="32">
        <v>1.040003E8</v>
      </c>
    </row>
    <row r="132">
      <c r="A132" s="33">
        <f t="shared" si="4"/>
        <v>123</v>
      </c>
      <c r="B132" s="24" t="s">
        <v>34</v>
      </c>
      <c r="C132" s="24">
        <v>172.0</v>
      </c>
      <c r="D132" s="24">
        <v>16.0</v>
      </c>
      <c r="E132" s="24">
        <v>0.634999999999999</v>
      </c>
      <c r="F132" s="24">
        <v>15.0</v>
      </c>
      <c r="G132" s="24" t="s">
        <v>35</v>
      </c>
      <c r="H132" s="24" t="s">
        <v>19</v>
      </c>
      <c r="I132" s="24" t="s">
        <v>22</v>
      </c>
      <c r="J132" s="25" t="s">
        <v>21</v>
      </c>
      <c r="K132" s="26">
        <f t="shared" si="1"/>
        <v>14.67</v>
      </c>
      <c r="L132" s="27">
        <v>0.700000000000002</v>
      </c>
      <c r="M132" s="28">
        <f t="shared" si="117"/>
        <v>119</v>
      </c>
      <c r="N132" s="37">
        <f t="shared" ref="N132:P132" si="121">N131 + SWITCH($I132,CONCATENATE("+",N$9), 1, CONCATENATE("-",N$9), -1, 0)*$K132 + SWITCH($J132,CONCATENATE("+",N$9), 1, CONCATENATE("-",N$9), -1, 0)*SWITCH(MOD($A132-$M132,2),1,1,0,-1)*$L132</f>
        <v>0</v>
      </c>
      <c r="O132" s="26">
        <f t="shared" si="121"/>
        <v>118.31</v>
      </c>
      <c r="P132" s="35">
        <f t="shared" si="121"/>
        <v>82.25</v>
      </c>
      <c r="Q132" s="32">
        <v>1.040004E8</v>
      </c>
    </row>
    <row r="133">
      <c r="A133" s="33">
        <f t="shared" si="4"/>
        <v>124</v>
      </c>
      <c r="B133" s="24" t="s">
        <v>34</v>
      </c>
      <c r="C133" s="24">
        <v>172.0</v>
      </c>
      <c r="D133" s="24">
        <v>16.0</v>
      </c>
      <c r="E133" s="24">
        <v>0.634999999999999</v>
      </c>
      <c r="F133" s="24">
        <v>15.0</v>
      </c>
      <c r="G133" s="24" t="s">
        <v>35</v>
      </c>
      <c r="H133" s="24" t="s">
        <v>19</v>
      </c>
      <c r="I133" s="24" t="s">
        <v>22</v>
      </c>
      <c r="J133" s="25" t="s">
        <v>21</v>
      </c>
      <c r="K133" s="26">
        <f t="shared" si="1"/>
        <v>14.67</v>
      </c>
      <c r="L133" s="27">
        <v>0.700000000000002</v>
      </c>
      <c r="M133" s="28">
        <f t="shared" si="117"/>
        <v>119</v>
      </c>
      <c r="N133" s="37">
        <f t="shared" ref="N133:P133" si="122">N132 + SWITCH($I133,CONCATENATE("+",N$9), 1, CONCATENATE("-",N$9), -1, 0)*$K133 + SWITCH($J133,CONCATENATE("+",N$9), 1, CONCATENATE("-",N$9), -1, 0)*SWITCH(MOD($A133-$M133,2),1,1,0,-1)*$L133</f>
        <v>0</v>
      </c>
      <c r="O133" s="26">
        <f t="shared" si="122"/>
        <v>119.01</v>
      </c>
      <c r="P133" s="35">
        <f t="shared" si="122"/>
        <v>67.58</v>
      </c>
      <c r="Q133" s="32">
        <v>1.040005E8</v>
      </c>
    </row>
    <row r="134">
      <c r="A134" s="33">
        <f t="shared" si="4"/>
        <v>125</v>
      </c>
      <c r="B134" s="24" t="s">
        <v>34</v>
      </c>
      <c r="C134" s="24">
        <v>172.0</v>
      </c>
      <c r="D134" s="24">
        <v>16.0</v>
      </c>
      <c r="E134" s="24">
        <v>0.634999999999999</v>
      </c>
      <c r="F134" s="24">
        <v>15.0</v>
      </c>
      <c r="G134" s="24" t="s">
        <v>35</v>
      </c>
      <c r="H134" s="24" t="s">
        <v>19</v>
      </c>
      <c r="I134" s="24" t="s">
        <v>22</v>
      </c>
      <c r="J134" s="25" t="s">
        <v>21</v>
      </c>
      <c r="K134" s="26">
        <f t="shared" si="1"/>
        <v>14.67</v>
      </c>
      <c r="L134" s="27">
        <v>0.700000000000002</v>
      </c>
      <c r="M134" s="28">
        <f t="shared" si="117"/>
        <v>119</v>
      </c>
      <c r="N134" s="37">
        <f t="shared" ref="N134:P134" si="123">N133 + SWITCH($I134,CONCATENATE("+",N$9), 1, CONCATENATE("-",N$9), -1, 0)*$K134 + SWITCH($J134,CONCATENATE("+",N$9), 1, CONCATENATE("-",N$9), -1, 0)*SWITCH(MOD($A134-$M134,2),1,1,0,-1)*$L134</f>
        <v>0</v>
      </c>
      <c r="O134" s="26">
        <f t="shared" si="123"/>
        <v>118.31</v>
      </c>
      <c r="P134" s="35">
        <f t="shared" si="123"/>
        <v>52.91</v>
      </c>
      <c r="Q134" s="32">
        <v>1.040006E8</v>
      </c>
    </row>
    <row r="135">
      <c r="A135" s="33">
        <f t="shared" si="4"/>
        <v>126</v>
      </c>
      <c r="B135" s="24" t="s">
        <v>34</v>
      </c>
      <c r="C135" s="24">
        <v>172.0</v>
      </c>
      <c r="D135" s="24">
        <v>16.0</v>
      </c>
      <c r="E135" s="24">
        <v>0.634999999999999</v>
      </c>
      <c r="F135" s="24">
        <v>15.0</v>
      </c>
      <c r="G135" s="24" t="s">
        <v>35</v>
      </c>
      <c r="H135" s="24" t="s">
        <v>19</v>
      </c>
      <c r="I135" s="24" t="s">
        <v>22</v>
      </c>
      <c r="J135" s="25" t="s">
        <v>21</v>
      </c>
      <c r="K135" s="26">
        <f t="shared" si="1"/>
        <v>14.67</v>
      </c>
      <c r="L135" s="27">
        <v>0.700000000000002</v>
      </c>
      <c r="M135" s="28">
        <f t="shared" si="117"/>
        <v>119</v>
      </c>
      <c r="N135" s="37">
        <f t="shared" ref="N135:P135" si="124">N134 + SWITCH($I135,CONCATENATE("+",N$9), 1, CONCATENATE("-",N$9), -1, 0)*$K135 + SWITCH($J135,CONCATENATE("+",N$9), 1, CONCATENATE("-",N$9), -1, 0)*SWITCH(MOD($A135-$M135,2),1,1,0,-1)*$L135</f>
        <v>0</v>
      </c>
      <c r="O135" s="26">
        <f t="shared" si="124"/>
        <v>119.01</v>
      </c>
      <c r="P135" s="35">
        <f t="shared" si="124"/>
        <v>38.24</v>
      </c>
      <c r="Q135" s="32">
        <v>1.040007E8</v>
      </c>
    </row>
    <row r="136">
      <c r="A136" s="33">
        <f t="shared" si="4"/>
        <v>127</v>
      </c>
      <c r="B136" s="24" t="s">
        <v>34</v>
      </c>
      <c r="C136" s="24">
        <v>172.0</v>
      </c>
      <c r="D136" s="24">
        <v>16.0</v>
      </c>
      <c r="E136" s="24">
        <v>0.634999999999999</v>
      </c>
      <c r="F136" s="24">
        <v>15.0</v>
      </c>
      <c r="G136" s="24" t="s">
        <v>35</v>
      </c>
      <c r="H136" s="24" t="s">
        <v>19</v>
      </c>
      <c r="I136" s="24" t="s">
        <v>22</v>
      </c>
      <c r="J136" s="25" t="s">
        <v>21</v>
      </c>
      <c r="K136" s="26">
        <f t="shared" si="1"/>
        <v>14.67</v>
      </c>
      <c r="L136" s="27">
        <v>0.700000000000002</v>
      </c>
      <c r="M136" s="28">
        <f t="shared" si="117"/>
        <v>119</v>
      </c>
      <c r="N136" s="37">
        <f t="shared" ref="N136:P136" si="125">N135 + SWITCH($I136,CONCATENATE("+",N$9), 1, CONCATENATE("-",N$9), -1, 0)*$K136 + SWITCH($J136,CONCATENATE("+",N$9), 1, CONCATENATE("-",N$9), -1, 0)*SWITCH(MOD($A136-$M136,2),1,1,0,-1)*$L136</f>
        <v>0</v>
      </c>
      <c r="O136" s="26">
        <f t="shared" si="125"/>
        <v>118.31</v>
      </c>
      <c r="P136" s="35">
        <f t="shared" si="125"/>
        <v>23.57</v>
      </c>
      <c r="Q136" s="32">
        <v>1.040008E8</v>
      </c>
    </row>
    <row r="137">
      <c r="A137" s="33">
        <f t="shared" si="4"/>
        <v>128</v>
      </c>
      <c r="B137" s="24" t="s">
        <v>34</v>
      </c>
      <c r="C137" s="24">
        <v>172.0</v>
      </c>
      <c r="D137" s="24">
        <v>16.0</v>
      </c>
      <c r="E137" s="24">
        <v>0.634999999999999</v>
      </c>
      <c r="F137" s="24">
        <v>15.0</v>
      </c>
      <c r="G137" s="24" t="s">
        <v>35</v>
      </c>
      <c r="H137" s="24" t="s">
        <v>19</v>
      </c>
      <c r="I137" s="24" t="s">
        <v>22</v>
      </c>
      <c r="J137" s="25" t="s">
        <v>21</v>
      </c>
      <c r="K137" s="26">
        <f t="shared" si="1"/>
        <v>14.67</v>
      </c>
      <c r="L137" s="27">
        <v>0.700000000000002</v>
      </c>
      <c r="M137" s="28">
        <f t="shared" si="117"/>
        <v>119</v>
      </c>
      <c r="N137" s="37">
        <f t="shared" ref="N137:P137" si="126">N136 + SWITCH($I137,CONCATENATE("+",N$9), 1, CONCATENATE("-",N$9), -1, 0)*$K137 + SWITCH($J137,CONCATENATE("+",N$9), 1, CONCATENATE("-",N$9), -1, 0)*SWITCH(MOD($A137-$M137,2),1,1,0,-1)*$L137</f>
        <v>0</v>
      </c>
      <c r="O137" s="26">
        <f t="shared" si="126"/>
        <v>119.01</v>
      </c>
      <c r="P137" s="35">
        <f t="shared" si="126"/>
        <v>8.9</v>
      </c>
      <c r="Q137" s="32">
        <v>1.040009E8</v>
      </c>
    </row>
    <row r="138">
      <c r="A138" s="36">
        <f t="shared" si="4"/>
        <v>129</v>
      </c>
      <c r="B138" s="24" t="s">
        <v>34</v>
      </c>
      <c r="C138" s="24">
        <v>172.0</v>
      </c>
      <c r="D138" s="24">
        <v>16.0</v>
      </c>
      <c r="E138" s="24">
        <v>0.634999999999999</v>
      </c>
      <c r="F138" s="24">
        <v>16.0</v>
      </c>
      <c r="G138" s="24" t="s">
        <v>35</v>
      </c>
      <c r="H138" s="24" t="s">
        <v>18</v>
      </c>
      <c r="I138" s="24" t="s">
        <v>22</v>
      </c>
      <c r="J138" s="24" t="s">
        <v>19</v>
      </c>
      <c r="K138" s="26">
        <f t="shared" si="1"/>
        <v>14.67</v>
      </c>
      <c r="L138" s="27">
        <v>0.700000000000002</v>
      </c>
      <c r="M138" s="28">
        <f t="shared" ref="M138:M147" si="127">$A$138</f>
        <v>129</v>
      </c>
      <c r="N138" s="37">
        <v>-118.31</v>
      </c>
      <c r="O138" s="27">
        <v>0.0</v>
      </c>
      <c r="P138" s="38">
        <v>140.93</v>
      </c>
      <c r="Q138" s="32">
        <v>1.030009E8</v>
      </c>
    </row>
    <row r="139">
      <c r="A139" s="33">
        <f t="shared" si="4"/>
        <v>130</v>
      </c>
      <c r="B139" s="24" t="s">
        <v>34</v>
      </c>
      <c r="C139" s="24">
        <v>172.0</v>
      </c>
      <c r="D139" s="24">
        <v>16.0</v>
      </c>
      <c r="E139" s="24">
        <v>0.634999999999999</v>
      </c>
      <c r="F139" s="24">
        <v>16.0</v>
      </c>
      <c r="G139" s="24" t="s">
        <v>35</v>
      </c>
      <c r="H139" s="24" t="s">
        <v>18</v>
      </c>
      <c r="I139" s="24" t="s">
        <v>22</v>
      </c>
      <c r="J139" s="24" t="s">
        <v>19</v>
      </c>
      <c r="K139" s="26">
        <f t="shared" si="1"/>
        <v>14.67</v>
      </c>
      <c r="L139" s="27">
        <v>0.700000000000002</v>
      </c>
      <c r="M139" s="28">
        <f t="shared" si="127"/>
        <v>129</v>
      </c>
      <c r="N139" s="37">
        <f t="shared" ref="N139:P139" si="128">N138 + SWITCH($I139,CONCATENATE("+",N$9), 1, CONCATENATE("-",N$9), -1, 0)*$K139 + SWITCH($J139,CONCATENATE("+",N$9), 1, CONCATENATE("-",N$9), -1, 0)*SWITCH(MOD($A139-$M139,2),1,1,0,-1)*$L139</f>
        <v>-119.01</v>
      </c>
      <c r="O139" s="26">
        <f t="shared" si="128"/>
        <v>0</v>
      </c>
      <c r="P139" s="35">
        <f t="shared" si="128"/>
        <v>126.26</v>
      </c>
      <c r="Q139" s="32">
        <v>1.030008E8</v>
      </c>
    </row>
    <row r="140">
      <c r="A140" s="33">
        <f t="shared" si="4"/>
        <v>131</v>
      </c>
      <c r="B140" s="24" t="s">
        <v>34</v>
      </c>
      <c r="C140" s="24">
        <v>172.0</v>
      </c>
      <c r="D140" s="24">
        <v>16.0</v>
      </c>
      <c r="E140" s="24">
        <v>0.634999999999999</v>
      </c>
      <c r="F140" s="24">
        <v>16.0</v>
      </c>
      <c r="G140" s="24" t="s">
        <v>35</v>
      </c>
      <c r="H140" s="24" t="s">
        <v>18</v>
      </c>
      <c r="I140" s="24" t="s">
        <v>22</v>
      </c>
      <c r="J140" s="24" t="s">
        <v>19</v>
      </c>
      <c r="K140" s="26">
        <f t="shared" si="1"/>
        <v>14.67</v>
      </c>
      <c r="L140" s="27">
        <v>0.700000000000002</v>
      </c>
      <c r="M140" s="28">
        <f t="shared" si="127"/>
        <v>129</v>
      </c>
      <c r="N140" s="37">
        <f t="shared" ref="N140:P140" si="129">N139 + SWITCH($I140,CONCATENATE("+",N$9), 1, CONCATENATE("-",N$9), -1, 0)*$K140 + SWITCH($J140,CONCATENATE("+",N$9), 1, CONCATENATE("-",N$9), -1, 0)*SWITCH(MOD($A140-$M140,2),1,1,0,-1)*$L140</f>
        <v>-118.31</v>
      </c>
      <c r="O140" s="26">
        <f t="shared" si="129"/>
        <v>0</v>
      </c>
      <c r="P140" s="35">
        <f t="shared" si="129"/>
        <v>111.59</v>
      </c>
      <c r="Q140" s="32">
        <v>1.030007E8</v>
      </c>
    </row>
    <row r="141">
      <c r="A141" s="33">
        <f t="shared" si="4"/>
        <v>132</v>
      </c>
      <c r="B141" s="24" t="s">
        <v>34</v>
      </c>
      <c r="C141" s="24">
        <v>172.0</v>
      </c>
      <c r="D141" s="24">
        <v>16.0</v>
      </c>
      <c r="E141" s="24">
        <v>0.634999999999999</v>
      </c>
      <c r="F141" s="24">
        <v>16.0</v>
      </c>
      <c r="G141" s="24" t="s">
        <v>35</v>
      </c>
      <c r="H141" s="24" t="s">
        <v>18</v>
      </c>
      <c r="I141" s="24" t="s">
        <v>22</v>
      </c>
      <c r="J141" s="24" t="s">
        <v>19</v>
      </c>
      <c r="K141" s="26">
        <f t="shared" si="1"/>
        <v>14.67</v>
      </c>
      <c r="L141" s="27">
        <v>0.700000000000002</v>
      </c>
      <c r="M141" s="28">
        <f t="shared" si="127"/>
        <v>129</v>
      </c>
      <c r="N141" s="37">
        <f t="shared" ref="N141:P141" si="130">N140 + SWITCH($I141,CONCATENATE("+",N$9), 1, CONCATENATE("-",N$9), -1, 0)*$K141 + SWITCH($J141,CONCATENATE("+",N$9), 1, CONCATENATE("-",N$9), -1, 0)*SWITCH(MOD($A141-$M141,2),1,1,0,-1)*$L141</f>
        <v>-119.01</v>
      </c>
      <c r="O141" s="26">
        <f t="shared" si="130"/>
        <v>0</v>
      </c>
      <c r="P141" s="35">
        <f t="shared" si="130"/>
        <v>96.92</v>
      </c>
      <c r="Q141" s="32">
        <v>1.030006E8</v>
      </c>
    </row>
    <row r="142">
      <c r="A142" s="33">
        <f t="shared" si="4"/>
        <v>133</v>
      </c>
      <c r="B142" s="24" t="s">
        <v>34</v>
      </c>
      <c r="C142" s="24">
        <v>172.0</v>
      </c>
      <c r="D142" s="24">
        <v>16.0</v>
      </c>
      <c r="E142" s="24">
        <v>0.634999999999999</v>
      </c>
      <c r="F142" s="24">
        <v>16.0</v>
      </c>
      <c r="G142" s="24" t="s">
        <v>35</v>
      </c>
      <c r="H142" s="24" t="s">
        <v>18</v>
      </c>
      <c r="I142" s="24" t="s">
        <v>22</v>
      </c>
      <c r="J142" s="24" t="s">
        <v>19</v>
      </c>
      <c r="K142" s="26">
        <f t="shared" si="1"/>
        <v>14.67</v>
      </c>
      <c r="L142" s="27">
        <v>0.700000000000002</v>
      </c>
      <c r="M142" s="28">
        <f t="shared" si="127"/>
        <v>129</v>
      </c>
      <c r="N142" s="37">
        <f t="shared" ref="N142:P142" si="131">N141 + SWITCH($I142,CONCATENATE("+",N$9), 1, CONCATENATE("-",N$9), -1, 0)*$K142 + SWITCH($J142,CONCATENATE("+",N$9), 1, CONCATENATE("-",N$9), -1, 0)*SWITCH(MOD($A142-$M142,2),1,1,0,-1)*$L142</f>
        <v>-118.31</v>
      </c>
      <c r="O142" s="26">
        <f t="shared" si="131"/>
        <v>0</v>
      </c>
      <c r="P142" s="35">
        <f t="shared" si="131"/>
        <v>82.25</v>
      </c>
      <c r="Q142" s="32">
        <v>1.030005E8</v>
      </c>
    </row>
    <row r="143">
      <c r="A143" s="33">
        <f t="shared" si="4"/>
        <v>134</v>
      </c>
      <c r="B143" s="24" t="s">
        <v>34</v>
      </c>
      <c r="C143" s="24">
        <v>172.0</v>
      </c>
      <c r="D143" s="24">
        <v>16.0</v>
      </c>
      <c r="E143" s="24">
        <v>0.634999999999999</v>
      </c>
      <c r="F143" s="24">
        <v>16.0</v>
      </c>
      <c r="G143" s="24" t="s">
        <v>35</v>
      </c>
      <c r="H143" s="24" t="s">
        <v>18</v>
      </c>
      <c r="I143" s="24" t="s">
        <v>22</v>
      </c>
      <c r="J143" s="24" t="s">
        <v>19</v>
      </c>
      <c r="K143" s="26">
        <f t="shared" si="1"/>
        <v>14.67</v>
      </c>
      <c r="L143" s="27">
        <v>0.700000000000002</v>
      </c>
      <c r="M143" s="28">
        <f t="shared" si="127"/>
        <v>129</v>
      </c>
      <c r="N143" s="37">
        <f t="shared" ref="N143:P143" si="132">N142 + SWITCH($I143,CONCATENATE("+",N$9), 1, CONCATENATE("-",N$9), -1, 0)*$K143 + SWITCH($J143,CONCATENATE("+",N$9), 1, CONCATENATE("-",N$9), -1, 0)*SWITCH(MOD($A143-$M143,2),1,1,0,-1)*$L143</f>
        <v>-119.01</v>
      </c>
      <c r="O143" s="26">
        <f t="shared" si="132"/>
        <v>0</v>
      </c>
      <c r="P143" s="35">
        <f t="shared" si="132"/>
        <v>67.58</v>
      </c>
      <c r="Q143" s="32">
        <v>1.030004E8</v>
      </c>
    </row>
    <row r="144">
      <c r="A144" s="33">
        <f t="shared" si="4"/>
        <v>135</v>
      </c>
      <c r="B144" s="24" t="s">
        <v>34</v>
      </c>
      <c r="C144" s="24">
        <v>172.0</v>
      </c>
      <c r="D144" s="24">
        <v>16.0</v>
      </c>
      <c r="E144" s="24">
        <v>0.634999999999999</v>
      </c>
      <c r="F144" s="24">
        <v>16.0</v>
      </c>
      <c r="G144" s="24" t="s">
        <v>35</v>
      </c>
      <c r="H144" s="24" t="s">
        <v>18</v>
      </c>
      <c r="I144" s="24" t="s">
        <v>22</v>
      </c>
      <c r="J144" s="24" t="s">
        <v>19</v>
      </c>
      <c r="K144" s="26">
        <f t="shared" si="1"/>
        <v>14.67</v>
      </c>
      <c r="L144" s="27">
        <v>0.700000000000002</v>
      </c>
      <c r="M144" s="28">
        <f t="shared" si="127"/>
        <v>129</v>
      </c>
      <c r="N144" s="37">
        <f t="shared" ref="N144:P144" si="133">N143 + SWITCH($I144,CONCATENATE("+",N$9), 1, CONCATENATE("-",N$9), -1, 0)*$K144 + SWITCH($J144,CONCATENATE("+",N$9), 1, CONCATENATE("-",N$9), -1, 0)*SWITCH(MOD($A144-$M144,2),1,1,0,-1)*$L144</f>
        <v>-118.31</v>
      </c>
      <c r="O144" s="26">
        <f t="shared" si="133"/>
        <v>0</v>
      </c>
      <c r="P144" s="35">
        <f t="shared" si="133"/>
        <v>52.91</v>
      </c>
      <c r="Q144" s="32">
        <v>1.030003E8</v>
      </c>
    </row>
    <row r="145">
      <c r="A145" s="33">
        <f t="shared" si="4"/>
        <v>136</v>
      </c>
      <c r="B145" s="24" t="s">
        <v>34</v>
      </c>
      <c r="C145" s="24">
        <v>172.0</v>
      </c>
      <c r="D145" s="24">
        <v>16.0</v>
      </c>
      <c r="E145" s="24">
        <v>0.634999999999999</v>
      </c>
      <c r="F145" s="24">
        <v>16.0</v>
      </c>
      <c r="G145" s="24" t="s">
        <v>35</v>
      </c>
      <c r="H145" s="24" t="s">
        <v>18</v>
      </c>
      <c r="I145" s="24" t="s">
        <v>22</v>
      </c>
      <c r="J145" s="24" t="s">
        <v>19</v>
      </c>
      <c r="K145" s="26">
        <f t="shared" si="1"/>
        <v>14.67</v>
      </c>
      <c r="L145" s="27">
        <v>0.700000000000002</v>
      </c>
      <c r="M145" s="28">
        <f t="shared" si="127"/>
        <v>129</v>
      </c>
      <c r="N145" s="37">
        <f t="shared" ref="N145:P145" si="134">N144 + SWITCH($I145,CONCATENATE("+",N$9), 1, CONCATENATE("-",N$9), -1, 0)*$K145 + SWITCH($J145,CONCATENATE("+",N$9), 1, CONCATENATE("-",N$9), -1, 0)*SWITCH(MOD($A145-$M145,2),1,1,0,-1)*$L145</f>
        <v>-119.01</v>
      </c>
      <c r="O145" s="26">
        <f t="shared" si="134"/>
        <v>0</v>
      </c>
      <c r="P145" s="35">
        <f t="shared" si="134"/>
        <v>38.24</v>
      </c>
      <c r="Q145" s="32">
        <v>1.030002E8</v>
      </c>
    </row>
    <row r="146">
      <c r="A146" s="33">
        <f t="shared" si="4"/>
        <v>137</v>
      </c>
      <c r="B146" s="24" t="s">
        <v>34</v>
      </c>
      <c r="C146" s="24">
        <v>172.0</v>
      </c>
      <c r="D146" s="24">
        <v>16.0</v>
      </c>
      <c r="E146" s="24">
        <v>0.634999999999999</v>
      </c>
      <c r="F146" s="24">
        <v>16.0</v>
      </c>
      <c r="G146" s="24" t="s">
        <v>35</v>
      </c>
      <c r="H146" s="24" t="s">
        <v>18</v>
      </c>
      <c r="I146" s="24" t="s">
        <v>22</v>
      </c>
      <c r="J146" s="24" t="s">
        <v>19</v>
      </c>
      <c r="K146" s="26">
        <f t="shared" si="1"/>
        <v>14.67</v>
      </c>
      <c r="L146" s="27">
        <v>0.700000000000002</v>
      </c>
      <c r="M146" s="28">
        <f t="shared" si="127"/>
        <v>129</v>
      </c>
      <c r="N146" s="37">
        <f t="shared" ref="N146:P146" si="135">N145 + SWITCH($I146,CONCATENATE("+",N$9), 1, CONCATENATE("-",N$9), -1, 0)*$K146 + SWITCH($J146,CONCATENATE("+",N$9), 1, CONCATENATE("-",N$9), -1, 0)*SWITCH(MOD($A146-$M146,2),1,1,0,-1)*$L146</f>
        <v>-118.31</v>
      </c>
      <c r="O146" s="26">
        <f t="shared" si="135"/>
        <v>0</v>
      </c>
      <c r="P146" s="35">
        <f t="shared" si="135"/>
        <v>23.57</v>
      </c>
      <c r="Q146" s="32">
        <v>1.030001E8</v>
      </c>
    </row>
    <row r="147">
      <c r="A147" s="33">
        <f t="shared" si="4"/>
        <v>138</v>
      </c>
      <c r="B147" s="24" t="s">
        <v>34</v>
      </c>
      <c r="C147" s="24">
        <v>172.0</v>
      </c>
      <c r="D147" s="24">
        <v>16.0</v>
      </c>
      <c r="E147" s="24">
        <v>0.634999999999999</v>
      </c>
      <c r="F147" s="24">
        <v>16.0</v>
      </c>
      <c r="G147" s="24" t="s">
        <v>35</v>
      </c>
      <c r="H147" s="24" t="s">
        <v>18</v>
      </c>
      <c r="I147" s="24" t="s">
        <v>22</v>
      </c>
      <c r="J147" s="24" t="s">
        <v>19</v>
      </c>
      <c r="K147" s="26">
        <f t="shared" si="1"/>
        <v>14.67</v>
      </c>
      <c r="L147" s="27">
        <v>0.700000000000002</v>
      </c>
      <c r="M147" s="28">
        <f t="shared" si="127"/>
        <v>129</v>
      </c>
      <c r="N147" s="37">
        <f t="shared" ref="N147:P147" si="136">N146 + SWITCH($I147,CONCATENATE("+",N$9), 1, CONCATENATE("-",N$9), -1, 0)*$K147 + SWITCH($J147,CONCATENATE("+",N$9), 1, CONCATENATE("-",N$9), -1, 0)*SWITCH(MOD($A147-$M147,2),1,1,0,-1)*$L147</f>
        <v>-119.01</v>
      </c>
      <c r="O147" s="26">
        <f t="shared" si="136"/>
        <v>0</v>
      </c>
      <c r="P147" s="35">
        <f t="shared" si="136"/>
        <v>8.9</v>
      </c>
      <c r="Q147" s="32">
        <v>1.03E8</v>
      </c>
    </row>
    <row r="148">
      <c r="A148" s="36">
        <f t="shared" si="4"/>
        <v>139</v>
      </c>
      <c r="B148" s="24" t="s">
        <v>34</v>
      </c>
      <c r="C148" s="24">
        <v>172.0</v>
      </c>
      <c r="D148" s="24">
        <v>16.0</v>
      </c>
      <c r="E148" s="24">
        <v>0.634999999999999</v>
      </c>
      <c r="F148" s="24">
        <v>17.0</v>
      </c>
      <c r="G148" s="24" t="s">
        <v>35</v>
      </c>
      <c r="H148" s="25" t="s">
        <v>24</v>
      </c>
      <c r="I148" s="24" t="s">
        <v>22</v>
      </c>
      <c r="J148" s="24" t="s">
        <v>18</v>
      </c>
      <c r="K148" s="26">
        <f t="shared" si="1"/>
        <v>14.67</v>
      </c>
      <c r="L148" s="27">
        <v>0.700000000000002</v>
      </c>
      <c r="M148" s="28">
        <f t="shared" ref="M148:M157" si="137">$A$148</f>
        <v>139</v>
      </c>
      <c r="N148" s="37">
        <v>0.0</v>
      </c>
      <c r="O148" s="27">
        <v>-118.31</v>
      </c>
      <c r="P148" s="38">
        <v>140.93</v>
      </c>
      <c r="Q148" s="32">
        <v>1.050009E8</v>
      </c>
    </row>
    <row r="149">
      <c r="A149" s="33">
        <f t="shared" si="4"/>
        <v>140</v>
      </c>
      <c r="B149" s="24" t="s">
        <v>34</v>
      </c>
      <c r="C149" s="24">
        <v>172.0</v>
      </c>
      <c r="D149" s="24">
        <v>16.0</v>
      </c>
      <c r="E149" s="24">
        <v>0.634999999999999</v>
      </c>
      <c r="F149" s="24">
        <v>17.0</v>
      </c>
      <c r="G149" s="24" t="s">
        <v>35</v>
      </c>
      <c r="H149" s="25" t="s">
        <v>24</v>
      </c>
      <c r="I149" s="24" t="s">
        <v>22</v>
      </c>
      <c r="J149" s="24" t="s">
        <v>18</v>
      </c>
      <c r="K149" s="26">
        <f t="shared" si="1"/>
        <v>14.67</v>
      </c>
      <c r="L149" s="27">
        <v>0.700000000000002</v>
      </c>
      <c r="M149" s="28">
        <f t="shared" si="137"/>
        <v>139</v>
      </c>
      <c r="N149" s="37">
        <f t="shared" ref="N149:P149" si="138">N148 + SWITCH($I149,CONCATENATE("+",N$9), 1, CONCATENATE("-",N$9), -1, 0)*$K149 + SWITCH($J149,CONCATENATE("+",N$9), 1, CONCATENATE("-",N$9), -1, 0)*SWITCH(MOD($A149-$M149,2),1,1,0,-1)*$L149</f>
        <v>0</v>
      </c>
      <c r="O149" s="26">
        <f t="shared" si="138"/>
        <v>-119.01</v>
      </c>
      <c r="P149" s="35">
        <f t="shared" si="138"/>
        <v>126.26</v>
      </c>
      <c r="Q149" s="32">
        <v>1.050008E8</v>
      </c>
    </row>
    <row r="150">
      <c r="A150" s="33">
        <f t="shared" si="4"/>
        <v>141</v>
      </c>
      <c r="B150" s="24" t="s">
        <v>34</v>
      </c>
      <c r="C150" s="24">
        <v>172.0</v>
      </c>
      <c r="D150" s="24">
        <v>16.0</v>
      </c>
      <c r="E150" s="24">
        <v>0.634999999999999</v>
      </c>
      <c r="F150" s="24">
        <v>17.0</v>
      </c>
      <c r="G150" s="24" t="s">
        <v>35</v>
      </c>
      <c r="H150" s="25" t="s">
        <v>24</v>
      </c>
      <c r="I150" s="24" t="s">
        <v>22</v>
      </c>
      <c r="J150" s="24" t="s">
        <v>18</v>
      </c>
      <c r="K150" s="26">
        <f t="shared" si="1"/>
        <v>14.67</v>
      </c>
      <c r="L150" s="27">
        <v>0.700000000000002</v>
      </c>
      <c r="M150" s="28">
        <f t="shared" si="137"/>
        <v>139</v>
      </c>
      <c r="N150" s="37">
        <f t="shared" ref="N150:P150" si="139">N149 + SWITCH($I150,CONCATENATE("+",N$9), 1, CONCATENATE("-",N$9), -1, 0)*$K150 + SWITCH($J150,CONCATENATE("+",N$9), 1, CONCATENATE("-",N$9), -1, 0)*SWITCH(MOD($A150-$M150,2),1,1,0,-1)*$L150</f>
        <v>0</v>
      </c>
      <c r="O150" s="26">
        <f t="shared" si="139"/>
        <v>-118.31</v>
      </c>
      <c r="P150" s="35">
        <f t="shared" si="139"/>
        <v>111.59</v>
      </c>
      <c r="Q150" s="32">
        <v>1.050007E8</v>
      </c>
    </row>
    <row r="151">
      <c r="A151" s="33">
        <f t="shared" si="4"/>
        <v>142</v>
      </c>
      <c r="B151" s="24" t="s">
        <v>34</v>
      </c>
      <c r="C151" s="24">
        <v>172.0</v>
      </c>
      <c r="D151" s="24">
        <v>16.0</v>
      </c>
      <c r="E151" s="24">
        <v>0.634999999999999</v>
      </c>
      <c r="F151" s="24">
        <v>17.0</v>
      </c>
      <c r="G151" s="24" t="s">
        <v>35</v>
      </c>
      <c r="H151" s="25" t="s">
        <v>24</v>
      </c>
      <c r="I151" s="24" t="s">
        <v>22</v>
      </c>
      <c r="J151" s="24" t="s">
        <v>18</v>
      </c>
      <c r="K151" s="26">
        <f t="shared" si="1"/>
        <v>14.67</v>
      </c>
      <c r="L151" s="27">
        <v>0.700000000000002</v>
      </c>
      <c r="M151" s="28">
        <f t="shared" si="137"/>
        <v>139</v>
      </c>
      <c r="N151" s="37">
        <f t="shared" ref="N151:P151" si="140">N150 + SWITCH($I151,CONCATENATE("+",N$9), 1, CONCATENATE("-",N$9), -1, 0)*$K151 + SWITCH($J151,CONCATENATE("+",N$9), 1, CONCATENATE("-",N$9), -1, 0)*SWITCH(MOD($A151-$M151,2),1,1,0,-1)*$L151</f>
        <v>0</v>
      </c>
      <c r="O151" s="26">
        <f t="shared" si="140"/>
        <v>-119.01</v>
      </c>
      <c r="P151" s="35">
        <f t="shared" si="140"/>
        <v>96.92</v>
      </c>
      <c r="Q151" s="32">
        <v>1.050006E8</v>
      </c>
    </row>
    <row r="152">
      <c r="A152" s="33">
        <f t="shared" si="4"/>
        <v>143</v>
      </c>
      <c r="B152" s="24" t="s">
        <v>34</v>
      </c>
      <c r="C152" s="24">
        <v>172.0</v>
      </c>
      <c r="D152" s="24">
        <v>16.0</v>
      </c>
      <c r="E152" s="24">
        <v>0.634999999999999</v>
      </c>
      <c r="F152" s="24">
        <v>17.0</v>
      </c>
      <c r="G152" s="24" t="s">
        <v>35</v>
      </c>
      <c r="H152" s="25" t="s">
        <v>24</v>
      </c>
      <c r="I152" s="24" t="s">
        <v>22</v>
      </c>
      <c r="J152" s="24" t="s">
        <v>18</v>
      </c>
      <c r="K152" s="26">
        <f t="shared" si="1"/>
        <v>14.67</v>
      </c>
      <c r="L152" s="27">
        <v>0.700000000000002</v>
      </c>
      <c r="M152" s="28">
        <f t="shared" si="137"/>
        <v>139</v>
      </c>
      <c r="N152" s="37">
        <f t="shared" ref="N152:P152" si="141">N151 + SWITCH($I152,CONCATENATE("+",N$9), 1, CONCATENATE("-",N$9), -1, 0)*$K152 + SWITCH($J152,CONCATENATE("+",N$9), 1, CONCATENATE("-",N$9), -1, 0)*SWITCH(MOD($A152-$M152,2),1,1,0,-1)*$L152</f>
        <v>0</v>
      </c>
      <c r="O152" s="26">
        <f t="shared" si="141"/>
        <v>-118.31</v>
      </c>
      <c r="P152" s="35">
        <f t="shared" si="141"/>
        <v>82.25</v>
      </c>
      <c r="Q152" s="32">
        <v>1.050005E8</v>
      </c>
    </row>
    <row r="153">
      <c r="A153" s="33">
        <f t="shared" si="4"/>
        <v>144</v>
      </c>
      <c r="B153" s="24" t="s">
        <v>34</v>
      </c>
      <c r="C153" s="24">
        <v>172.0</v>
      </c>
      <c r="D153" s="24">
        <v>16.0</v>
      </c>
      <c r="E153" s="24">
        <v>0.634999999999999</v>
      </c>
      <c r="F153" s="24">
        <v>17.0</v>
      </c>
      <c r="G153" s="24" t="s">
        <v>35</v>
      </c>
      <c r="H153" s="25" t="s">
        <v>24</v>
      </c>
      <c r="I153" s="24" t="s">
        <v>22</v>
      </c>
      <c r="J153" s="24" t="s">
        <v>18</v>
      </c>
      <c r="K153" s="26">
        <f t="shared" si="1"/>
        <v>14.67</v>
      </c>
      <c r="L153" s="27">
        <v>0.700000000000002</v>
      </c>
      <c r="M153" s="28">
        <f t="shared" si="137"/>
        <v>139</v>
      </c>
      <c r="N153" s="37">
        <f t="shared" ref="N153:P153" si="142">N152 + SWITCH($I153,CONCATENATE("+",N$9), 1, CONCATENATE("-",N$9), -1, 0)*$K153 + SWITCH($J153,CONCATENATE("+",N$9), 1, CONCATENATE("-",N$9), -1, 0)*SWITCH(MOD($A153-$M153,2),1,1,0,-1)*$L153</f>
        <v>0</v>
      </c>
      <c r="O153" s="26">
        <f t="shared" si="142"/>
        <v>-119.01</v>
      </c>
      <c r="P153" s="35">
        <f t="shared" si="142"/>
        <v>67.58</v>
      </c>
      <c r="Q153" s="32">
        <v>1.050004E8</v>
      </c>
    </row>
    <row r="154">
      <c r="A154" s="33">
        <f t="shared" si="4"/>
        <v>145</v>
      </c>
      <c r="B154" s="24" t="s">
        <v>34</v>
      </c>
      <c r="C154" s="24">
        <v>172.0</v>
      </c>
      <c r="D154" s="24">
        <v>16.0</v>
      </c>
      <c r="E154" s="24">
        <v>0.634999999999999</v>
      </c>
      <c r="F154" s="24">
        <v>17.0</v>
      </c>
      <c r="G154" s="24" t="s">
        <v>35</v>
      </c>
      <c r="H154" s="25" t="s">
        <v>24</v>
      </c>
      <c r="I154" s="24" t="s">
        <v>22</v>
      </c>
      <c r="J154" s="24" t="s">
        <v>18</v>
      </c>
      <c r="K154" s="26">
        <f t="shared" si="1"/>
        <v>14.67</v>
      </c>
      <c r="L154" s="27">
        <v>0.700000000000002</v>
      </c>
      <c r="M154" s="28">
        <f t="shared" si="137"/>
        <v>139</v>
      </c>
      <c r="N154" s="37">
        <f t="shared" ref="N154:P154" si="143">N153 + SWITCH($I154,CONCATENATE("+",N$9), 1, CONCATENATE("-",N$9), -1, 0)*$K154 + SWITCH($J154,CONCATENATE("+",N$9), 1, CONCATENATE("-",N$9), -1, 0)*SWITCH(MOD($A154-$M154,2),1,1,0,-1)*$L154</f>
        <v>0</v>
      </c>
      <c r="O154" s="26">
        <f t="shared" si="143"/>
        <v>-118.31</v>
      </c>
      <c r="P154" s="35">
        <f t="shared" si="143"/>
        <v>52.91</v>
      </c>
      <c r="Q154" s="32">
        <v>1.050003E8</v>
      </c>
    </row>
    <row r="155">
      <c r="A155" s="33">
        <f t="shared" si="4"/>
        <v>146</v>
      </c>
      <c r="B155" s="24" t="s">
        <v>34</v>
      </c>
      <c r="C155" s="24">
        <v>172.0</v>
      </c>
      <c r="D155" s="24">
        <v>16.0</v>
      </c>
      <c r="E155" s="24">
        <v>0.634999999999999</v>
      </c>
      <c r="F155" s="24">
        <v>17.0</v>
      </c>
      <c r="G155" s="24" t="s">
        <v>35</v>
      </c>
      <c r="H155" s="25" t="s">
        <v>24</v>
      </c>
      <c r="I155" s="24" t="s">
        <v>22</v>
      </c>
      <c r="J155" s="24" t="s">
        <v>18</v>
      </c>
      <c r="K155" s="26">
        <f t="shared" si="1"/>
        <v>14.67</v>
      </c>
      <c r="L155" s="27">
        <v>0.700000000000002</v>
      </c>
      <c r="M155" s="28">
        <f t="shared" si="137"/>
        <v>139</v>
      </c>
      <c r="N155" s="37">
        <f t="shared" ref="N155:P155" si="144">N154 + SWITCH($I155,CONCATENATE("+",N$9), 1, CONCATENATE("-",N$9), -1, 0)*$K155 + SWITCH($J155,CONCATENATE("+",N$9), 1, CONCATENATE("-",N$9), -1, 0)*SWITCH(MOD($A155-$M155,2),1,1,0,-1)*$L155</f>
        <v>0</v>
      </c>
      <c r="O155" s="26">
        <f t="shared" si="144"/>
        <v>-119.01</v>
      </c>
      <c r="P155" s="35">
        <f t="shared" si="144"/>
        <v>38.24</v>
      </c>
      <c r="Q155" s="32">
        <v>1.050002E8</v>
      </c>
    </row>
    <row r="156">
      <c r="A156" s="33">
        <f t="shared" si="4"/>
        <v>147</v>
      </c>
      <c r="B156" s="24" t="s">
        <v>34</v>
      </c>
      <c r="C156" s="24">
        <v>172.0</v>
      </c>
      <c r="D156" s="24">
        <v>16.0</v>
      </c>
      <c r="E156" s="24">
        <v>0.634999999999999</v>
      </c>
      <c r="F156" s="24">
        <v>17.0</v>
      </c>
      <c r="G156" s="24" t="s">
        <v>35</v>
      </c>
      <c r="H156" s="25" t="s">
        <v>24</v>
      </c>
      <c r="I156" s="24" t="s">
        <v>22</v>
      </c>
      <c r="J156" s="24" t="s">
        <v>18</v>
      </c>
      <c r="K156" s="26">
        <f t="shared" si="1"/>
        <v>14.67</v>
      </c>
      <c r="L156" s="27">
        <v>0.700000000000002</v>
      </c>
      <c r="M156" s="28">
        <f t="shared" si="137"/>
        <v>139</v>
      </c>
      <c r="N156" s="37">
        <f t="shared" ref="N156:P156" si="145">N155 + SWITCH($I156,CONCATENATE("+",N$9), 1, CONCATENATE("-",N$9), -1, 0)*$K156 + SWITCH($J156,CONCATENATE("+",N$9), 1, CONCATENATE("-",N$9), -1, 0)*SWITCH(MOD($A156-$M156,2),1,1,0,-1)*$L156</f>
        <v>0</v>
      </c>
      <c r="O156" s="26">
        <f t="shared" si="145"/>
        <v>-118.31</v>
      </c>
      <c r="P156" s="35">
        <f t="shared" si="145"/>
        <v>23.57</v>
      </c>
      <c r="Q156" s="32">
        <v>1.050001E8</v>
      </c>
    </row>
    <row r="157">
      <c r="A157" s="33">
        <f t="shared" si="4"/>
        <v>148</v>
      </c>
      <c r="B157" s="24" t="s">
        <v>34</v>
      </c>
      <c r="C157" s="24">
        <v>172.0</v>
      </c>
      <c r="D157" s="24">
        <v>16.0</v>
      </c>
      <c r="E157" s="24">
        <v>0.634999999999999</v>
      </c>
      <c r="F157" s="24">
        <v>17.0</v>
      </c>
      <c r="G157" s="24" t="s">
        <v>35</v>
      </c>
      <c r="H157" s="25" t="s">
        <v>24</v>
      </c>
      <c r="I157" s="24" t="s">
        <v>22</v>
      </c>
      <c r="J157" s="24" t="s">
        <v>18</v>
      </c>
      <c r="K157" s="26">
        <f t="shared" si="1"/>
        <v>14.67</v>
      </c>
      <c r="L157" s="27">
        <v>0.700000000000002</v>
      </c>
      <c r="M157" s="28">
        <f t="shared" si="137"/>
        <v>139</v>
      </c>
      <c r="N157" s="37">
        <f t="shared" ref="N157:P157" si="146">N156 + SWITCH($I157,CONCATENATE("+",N$9), 1, CONCATENATE("-",N$9), -1, 0)*$K157 + SWITCH($J157,CONCATENATE("+",N$9), 1, CONCATENATE("-",N$9), -1, 0)*SWITCH(MOD($A157-$M157,2),1,1,0,-1)*$L157</f>
        <v>0</v>
      </c>
      <c r="O157" s="26">
        <f t="shared" si="146"/>
        <v>-119.01</v>
      </c>
      <c r="P157" s="35">
        <f t="shared" si="146"/>
        <v>8.9</v>
      </c>
      <c r="Q157" s="32">
        <v>1.05E8</v>
      </c>
    </row>
    <row r="158">
      <c r="A158" s="33">
        <f t="shared" si="4"/>
        <v>149</v>
      </c>
      <c r="B158" s="24" t="s">
        <v>34</v>
      </c>
      <c r="C158" s="24">
        <v>151.0</v>
      </c>
      <c r="D158" s="24">
        <v>16.0</v>
      </c>
      <c r="E158" s="24">
        <v>0.634999999999999</v>
      </c>
      <c r="F158" s="24">
        <v>18.0</v>
      </c>
      <c r="G158" s="24" t="s">
        <v>36</v>
      </c>
      <c r="H158" s="24" t="s">
        <v>22</v>
      </c>
      <c r="I158" s="1"/>
      <c r="J158" s="1"/>
      <c r="K158" s="26">
        <f t="shared" si="1"/>
        <v>15</v>
      </c>
      <c r="L158" s="27">
        <v>0.700000000000002</v>
      </c>
      <c r="M158" s="26"/>
      <c r="N158" s="37">
        <v>115.13</v>
      </c>
      <c r="O158" s="27">
        <v>93.92</v>
      </c>
      <c r="P158" s="38">
        <v>70.27</v>
      </c>
      <c r="Q158" s="32">
        <v>1.060002E8</v>
      </c>
    </row>
    <row r="159">
      <c r="A159" s="33">
        <f t="shared" si="4"/>
        <v>150</v>
      </c>
      <c r="B159" s="24" t="s">
        <v>34</v>
      </c>
      <c r="C159" s="24">
        <v>151.0</v>
      </c>
      <c r="D159" s="24">
        <v>16.0</v>
      </c>
      <c r="E159" s="24">
        <v>0.634999999999999</v>
      </c>
      <c r="F159" s="24">
        <v>18.0</v>
      </c>
      <c r="G159" s="24" t="s">
        <v>36</v>
      </c>
      <c r="H159" s="24" t="s">
        <v>22</v>
      </c>
      <c r="I159" s="1"/>
      <c r="J159" s="1"/>
      <c r="K159" s="26">
        <f t="shared" si="1"/>
        <v>15</v>
      </c>
      <c r="L159" s="27">
        <v>0.700000000000002</v>
      </c>
      <c r="M159" s="26"/>
      <c r="N159" s="37">
        <v>105.02</v>
      </c>
      <c r="O159" s="27">
        <v>105.02</v>
      </c>
      <c r="P159" s="38">
        <v>70.27</v>
      </c>
      <c r="Q159" s="32">
        <v>1.060001E8</v>
      </c>
    </row>
    <row r="160">
      <c r="A160" s="33">
        <f t="shared" si="4"/>
        <v>151</v>
      </c>
      <c r="B160" s="24" t="s">
        <v>34</v>
      </c>
      <c r="C160" s="24">
        <v>151.0</v>
      </c>
      <c r="D160" s="24">
        <v>16.0</v>
      </c>
      <c r="E160" s="24">
        <v>0.634999999999999</v>
      </c>
      <c r="F160" s="24">
        <v>18.0</v>
      </c>
      <c r="G160" s="24" t="s">
        <v>36</v>
      </c>
      <c r="H160" s="24" t="s">
        <v>22</v>
      </c>
      <c r="I160" s="1"/>
      <c r="J160" s="1"/>
      <c r="K160" s="26">
        <f t="shared" si="1"/>
        <v>15</v>
      </c>
      <c r="L160" s="27">
        <v>0.700000000000002</v>
      </c>
      <c r="M160" s="26"/>
      <c r="N160" s="37">
        <v>93.92</v>
      </c>
      <c r="O160" s="27">
        <v>115.13</v>
      </c>
      <c r="P160" s="38">
        <v>70.27</v>
      </c>
      <c r="Q160" s="32">
        <v>1.06E8</v>
      </c>
    </row>
    <row r="161">
      <c r="A161" s="33">
        <f t="shared" si="4"/>
        <v>152</v>
      </c>
      <c r="B161" s="24" t="s">
        <v>34</v>
      </c>
      <c r="C161" s="24">
        <v>151.0</v>
      </c>
      <c r="D161" s="24">
        <v>16.0</v>
      </c>
      <c r="E161" s="24">
        <v>0.634999999999999</v>
      </c>
      <c r="F161" s="24">
        <v>19.0</v>
      </c>
      <c r="G161" s="24" t="s">
        <v>36</v>
      </c>
      <c r="H161" s="24" t="s">
        <v>22</v>
      </c>
      <c r="I161" s="1"/>
      <c r="J161" s="1"/>
      <c r="K161" s="26">
        <f t="shared" si="1"/>
        <v>15</v>
      </c>
      <c r="L161" s="27">
        <v>0.700000000000002</v>
      </c>
      <c r="M161" s="26"/>
      <c r="N161" s="37">
        <v>-93.92</v>
      </c>
      <c r="O161" s="27">
        <v>115.13</v>
      </c>
      <c r="P161" s="38">
        <v>70.27</v>
      </c>
      <c r="Q161" s="32">
        <v>1.062E8</v>
      </c>
    </row>
    <row r="162">
      <c r="A162" s="33">
        <f t="shared" si="4"/>
        <v>153</v>
      </c>
      <c r="B162" s="24" t="s">
        <v>34</v>
      </c>
      <c r="C162" s="24">
        <v>151.0</v>
      </c>
      <c r="D162" s="24">
        <v>16.0</v>
      </c>
      <c r="E162" s="24">
        <v>0.634999999999999</v>
      </c>
      <c r="F162" s="24">
        <v>19.0</v>
      </c>
      <c r="G162" s="24" t="s">
        <v>36</v>
      </c>
      <c r="H162" s="24" t="s">
        <v>22</v>
      </c>
      <c r="I162" s="1"/>
      <c r="J162" s="1"/>
      <c r="K162" s="26">
        <f t="shared" si="1"/>
        <v>15</v>
      </c>
      <c r="L162" s="27">
        <v>0.700000000000002</v>
      </c>
      <c r="M162" s="26"/>
      <c r="N162" s="37">
        <v>-105.02</v>
      </c>
      <c r="O162" s="27">
        <v>105.02</v>
      </c>
      <c r="P162" s="38">
        <v>70.27</v>
      </c>
      <c r="Q162" s="32">
        <v>1.062001E8</v>
      </c>
    </row>
    <row r="163">
      <c r="A163" s="33">
        <f t="shared" si="4"/>
        <v>154</v>
      </c>
      <c r="B163" s="24" t="s">
        <v>34</v>
      </c>
      <c r="C163" s="24">
        <v>151.0</v>
      </c>
      <c r="D163" s="24">
        <v>16.0</v>
      </c>
      <c r="E163" s="24">
        <v>0.634999999999999</v>
      </c>
      <c r="F163" s="24">
        <v>19.0</v>
      </c>
      <c r="G163" s="24" t="s">
        <v>36</v>
      </c>
      <c r="H163" s="24" t="s">
        <v>22</v>
      </c>
      <c r="I163" s="1"/>
      <c r="J163" s="1"/>
      <c r="K163" s="26">
        <f t="shared" si="1"/>
        <v>15</v>
      </c>
      <c r="L163" s="27">
        <v>0.700000000000002</v>
      </c>
      <c r="M163" s="26"/>
      <c r="N163" s="37">
        <v>-115.13</v>
      </c>
      <c r="O163" s="27">
        <v>93.92</v>
      </c>
      <c r="P163" s="38">
        <v>70.27</v>
      </c>
      <c r="Q163" s="32">
        <v>1.062002E8</v>
      </c>
    </row>
    <row r="164">
      <c r="A164" s="33">
        <f t="shared" si="4"/>
        <v>155</v>
      </c>
      <c r="B164" s="24" t="s">
        <v>34</v>
      </c>
      <c r="C164" s="24">
        <v>151.0</v>
      </c>
      <c r="D164" s="24">
        <v>16.0</v>
      </c>
      <c r="E164" s="24">
        <v>0.634999999999999</v>
      </c>
      <c r="F164" s="24">
        <v>20.0</v>
      </c>
      <c r="G164" s="24" t="s">
        <v>36</v>
      </c>
      <c r="H164" s="24" t="s">
        <v>22</v>
      </c>
      <c r="I164" s="1"/>
      <c r="J164" s="1"/>
      <c r="K164" s="26">
        <f t="shared" si="1"/>
        <v>15</v>
      </c>
      <c r="L164" s="27">
        <v>0.700000000000002</v>
      </c>
      <c r="M164" s="26"/>
      <c r="N164" s="37">
        <v>-115.13</v>
      </c>
      <c r="O164" s="27">
        <v>-93.92</v>
      </c>
      <c r="P164" s="38">
        <v>70.27</v>
      </c>
      <c r="Q164" s="32">
        <v>1.063E8</v>
      </c>
    </row>
    <row r="165">
      <c r="A165" s="33">
        <f t="shared" si="4"/>
        <v>156</v>
      </c>
      <c r="B165" s="24" t="s">
        <v>34</v>
      </c>
      <c r="C165" s="24">
        <v>151.0</v>
      </c>
      <c r="D165" s="24">
        <v>16.0</v>
      </c>
      <c r="E165" s="24">
        <v>0.634999999999999</v>
      </c>
      <c r="F165" s="24">
        <v>20.0</v>
      </c>
      <c r="G165" s="24" t="s">
        <v>36</v>
      </c>
      <c r="H165" s="24" t="s">
        <v>22</v>
      </c>
      <c r="I165" s="1"/>
      <c r="J165" s="1"/>
      <c r="K165" s="26">
        <f t="shared" si="1"/>
        <v>15</v>
      </c>
      <c r="L165" s="27">
        <v>0.700000000000002</v>
      </c>
      <c r="M165" s="26"/>
      <c r="N165" s="37">
        <v>-105.02</v>
      </c>
      <c r="O165" s="27">
        <v>-105.02</v>
      </c>
      <c r="P165" s="38">
        <v>70.27</v>
      </c>
      <c r="Q165" s="32">
        <v>1.063001E8</v>
      </c>
    </row>
    <row r="166">
      <c r="A166" s="33">
        <f t="shared" si="4"/>
        <v>157</v>
      </c>
      <c r="B166" s="24" t="s">
        <v>34</v>
      </c>
      <c r="C166" s="24">
        <v>151.0</v>
      </c>
      <c r="D166" s="24">
        <v>16.0</v>
      </c>
      <c r="E166" s="24">
        <v>0.634999999999999</v>
      </c>
      <c r="F166" s="24">
        <v>20.0</v>
      </c>
      <c r="G166" s="24" t="s">
        <v>36</v>
      </c>
      <c r="H166" s="24" t="s">
        <v>22</v>
      </c>
      <c r="I166" s="1"/>
      <c r="J166" s="1"/>
      <c r="K166" s="26">
        <f t="shared" si="1"/>
        <v>15</v>
      </c>
      <c r="L166" s="27">
        <v>0.700000000000002</v>
      </c>
      <c r="M166" s="26"/>
      <c r="N166" s="37">
        <v>-93.92</v>
      </c>
      <c r="O166" s="27">
        <v>-115.13</v>
      </c>
      <c r="P166" s="38">
        <v>70.27</v>
      </c>
      <c r="Q166" s="32">
        <v>1.063002E8</v>
      </c>
    </row>
    <row r="167">
      <c r="A167" s="33">
        <f t="shared" si="4"/>
        <v>158</v>
      </c>
      <c r="B167" s="24" t="s">
        <v>34</v>
      </c>
      <c r="C167" s="24">
        <v>151.0</v>
      </c>
      <c r="D167" s="24">
        <v>16.0</v>
      </c>
      <c r="E167" s="24">
        <v>0.634999999999999</v>
      </c>
      <c r="F167" s="24">
        <v>21.0</v>
      </c>
      <c r="G167" s="24" t="s">
        <v>36</v>
      </c>
      <c r="H167" s="24" t="s">
        <v>22</v>
      </c>
      <c r="I167" s="1"/>
      <c r="J167" s="1"/>
      <c r="K167" s="26">
        <f t="shared" si="1"/>
        <v>15</v>
      </c>
      <c r="L167" s="27">
        <v>0.700000000000002</v>
      </c>
      <c r="M167" s="26"/>
      <c r="N167" s="37">
        <v>93.92</v>
      </c>
      <c r="O167" s="27">
        <v>-115.13</v>
      </c>
      <c r="P167" s="38">
        <v>70.27</v>
      </c>
      <c r="Q167" s="32">
        <v>1.061002E8</v>
      </c>
    </row>
    <row r="168">
      <c r="A168" s="33">
        <f t="shared" si="4"/>
        <v>159</v>
      </c>
      <c r="B168" s="24" t="s">
        <v>34</v>
      </c>
      <c r="C168" s="24">
        <v>151.0</v>
      </c>
      <c r="D168" s="24">
        <v>16.0</v>
      </c>
      <c r="E168" s="24">
        <v>0.634999999999999</v>
      </c>
      <c r="F168" s="24">
        <v>21.0</v>
      </c>
      <c r="G168" s="24" t="s">
        <v>36</v>
      </c>
      <c r="H168" s="24" t="s">
        <v>22</v>
      </c>
      <c r="I168" s="1"/>
      <c r="J168" s="1"/>
      <c r="K168" s="26">
        <f t="shared" si="1"/>
        <v>15</v>
      </c>
      <c r="L168" s="27">
        <v>0.700000000000002</v>
      </c>
      <c r="M168" s="26"/>
      <c r="N168" s="37">
        <v>105.02</v>
      </c>
      <c r="O168" s="27">
        <v>-105.02</v>
      </c>
      <c r="P168" s="38">
        <v>70.27</v>
      </c>
      <c r="Q168" s="32">
        <v>1.061001E8</v>
      </c>
    </row>
    <row r="169">
      <c r="A169" s="33">
        <f t="shared" si="4"/>
        <v>160</v>
      </c>
      <c r="B169" s="24" t="s">
        <v>34</v>
      </c>
      <c r="C169" s="24">
        <v>151.0</v>
      </c>
      <c r="D169" s="24">
        <v>16.0</v>
      </c>
      <c r="E169" s="24">
        <v>0.634999999999999</v>
      </c>
      <c r="F169" s="24">
        <v>21.0</v>
      </c>
      <c r="G169" s="24" t="s">
        <v>36</v>
      </c>
      <c r="H169" s="24" t="s">
        <v>22</v>
      </c>
      <c r="I169" s="1"/>
      <c r="J169" s="1"/>
      <c r="K169" s="26">
        <f t="shared" si="1"/>
        <v>15</v>
      </c>
      <c r="L169" s="27">
        <v>0.700000000000002</v>
      </c>
      <c r="M169" s="26"/>
      <c r="N169" s="41">
        <v>115.14</v>
      </c>
      <c r="O169" s="42">
        <v>-93.92</v>
      </c>
      <c r="P169" s="43">
        <v>70.27</v>
      </c>
      <c r="Q169" s="32">
        <v>1.061E8</v>
      </c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26"/>
      <c r="L170" s="26"/>
      <c r="M170" s="26"/>
      <c r="N170" s="26"/>
      <c r="O170" s="26"/>
      <c r="P170" s="26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26"/>
      <c r="L171" s="26"/>
      <c r="M171" s="26"/>
      <c r="N171" s="26"/>
      <c r="O171" s="26"/>
      <c r="P171" s="26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26"/>
      <c r="L172" s="26"/>
      <c r="M172" s="26"/>
      <c r="N172" s="26"/>
      <c r="O172" s="26"/>
      <c r="P172" s="26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26"/>
      <c r="L173" s="26"/>
      <c r="M173" s="26"/>
      <c r="N173" s="26"/>
      <c r="O173" s="26"/>
      <c r="P173" s="26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26"/>
      <c r="L174" s="26"/>
      <c r="M174" s="26"/>
      <c r="N174" s="26"/>
      <c r="O174" s="26"/>
      <c r="P174" s="26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26"/>
      <c r="L175" s="26"/>
      <c r="M175" s="26"/>
      <c r="N175" s="26"/>
      <c r="O175" s="26"/>
      <c r="P175" s="26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26"/>
      <c r="L176" s="26"/>
      <c r="M176" s="26"/>
      <c r="N176" s="26"/>
      <c r="O176" s="26"/>
      <c r="P176" s="26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26"/>
      <c r="L177" s="26"/>
      <c r="M177" s="26"/>
      <c r="N177" s="26"/>
      <c r="O177" s="26"/>
      <c r="P177" s="26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26"/>
      <c r="L178" s="26"/>
      <c r="M178" s="26"/>
      <c r="N178" s="26"/>
      <c r="O178" s="26"/>
      <c r="P178" s="26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26"/>
      <c r="L179" s="26"/>
      <c r="M179" s="26"/>
      <c r="N179" s="26"/>
      <c r="O179" s="26"/>
      <c r="P179" s="26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26"/>
      <c r="L180" s="26"/>
      <c r="M180" s="26"/>
      <c r="N180" s="26"/>
      <c r="O180" s="26"/>
      <c r="P180" s="26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26"/>
      <c r="L181" s="26"/>
      <c r="M181" s="26"/>
      <c r="N181" s="26"/>
      <c r="O181" s="26"/>
      <c r="P181" s="26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26"/>
      <c r="L182" s="26"/>
      <c r="M182" s="26"/>
      <c r="N182" s="26"/>
      <c r="O182" s="26"/>
      <c r="P182" s="26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26"/>
      <c r="L183" s="26"/>
      <c r="M183" s="26"/>
      <c r="N183" s="26"/>
      <c r="O183" s="26"/>
      <c r="P183" s="26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26"/>
      <c r="L184" s="26"/>
      <c r="M184" s="26"/>
      <c r="N184" s="26"/>
      <c r="O184" s="26"/>
      <c r="P184" s="26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26"/>
      <c r="L185" s="26"/>
      <c r="M185" s="26"/>
      <c r="N185" s="26"/>
      <c r="O185" s="26"/>
      <c r="P185" s="26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26"/>
      <c r="L186" s="26"/>
      <c r="M186" s="26"/>
      <c r="N186" s="26"/>
      <c r="O186" s="26"/>
      <c r="P186" s="26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26"/>
      <c r="L187" s="26"/>
      <c r="M187" s="26"/>
      <c r="N187" s="26"/>
      <c r="O187" s="26"/>
      <c r="P187" s="26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26"/>
      <c r="L188" s="26"/>
      <c r="M188" s="26"/>
      <c r="N188" s="26"/>
      <c r="O188" s="26"/>
      <c r="P188" s="26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26"/>
      <c r="L189" s="26"/>
      <c r="M189" s="26"/>
      <c r="N189" s="26"/>
      <c r="O189" s="26"/>
      <c r="P189" s="26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26"/>
      <c r="L190" s="26"/>
      <c r="M190" s="26"/>
      <c r="N190" s="26"/>
      <c r="O190" s="26"/>
      <c r="P190" s="26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26"/>
      <c r="L191" s="26"/>
      <c r="M191" s="26"/>
      <c r="N191" s="26"/>
      <c r="O191" s="26"/>
      <c r="P191" s="26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26"/>
      <c r="L192" s="26"/>
      <c r="M192" s="26"/>
      <c r="N192" s="26"/>
      <c r="O192" s="26"/>
      <c r="P192" s="26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26"/>
      <c r="L193" s="26"/>
      <c r="M193" s="26"/>
      <c r="N193" s="26"/>
      <c r="O193" s="26"/>
      <c r="P193" s="26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26"/>
      <c r="L194" s="26"/>
      <c r="M194" s="26"/>
      <c r="N194" s="26"/>
      <c r="O194" s="26"/>
      <c r="P194" s="26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26"/>
      <c r="L195" s="26"/>
      <c r="M195" s="26"/>
      <c r="N195" s="26"/>
      <c r="O195" s="26"/>
      <c r="P195" s="26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26"/>
      <c r="L196" s="26"/>
      <c r="M196" s="26"/>
      <c r="N196" s="26"/>
      <c r="O196" s="26"/>
      <c r="P196" s="26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26"/>
      <c r="L197" s="26"/>
      <c r="M197" s="26"/>
      <c r="N197" s="26"/>
      <c r="O197" s="26"/>
      <c r="P197" s="26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26"/>
      <c r="L198" s="26"/>
      <c r="M198" s="26"/>
      <c r="N198" s="26"/>
      <c r="O198" s="26"/>
      <c r="P198" s="26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26"/>
      <c r="L199" s="26"/>
      <c r="M199" s="26"/>
      <c r="N199" s="26"/>
      <c r="O199" s="26"/>
      <c r="P199" s="26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26"/>
      <c r="L200" s="26"/>
      <c r="M200" s="26"/>
      <c r="N200" s="26"/>
      <c r="O200" s="26"/>
      <c r="P200" s="26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26"/>
      <c r="L201" s="26"/>
      <c r="M201" s="26"/>
      <c r="N201" s="26"/>
      <c r="O201" s="26"/>
      <c r="P201" s="26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26"/>
      <c r="L202" s="26"/>
      <c r="M202" s="26"/>
      <c r="N202" s="26"/>
      <c r="O202" s="26"/>
      <c r="P202" s="26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26"/>
      <c r="L203" s="26"/>
      <c r="M203" s="26"/>
      <c r="N203" s="26"/>
      <c r="O203" s="26"/>
      <c r="P203" s="26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26"/>
      <c r="L204" s="26"/>
      <c r="M204" s="26"/>
      <c r="N204" s="26"/>
      <c r="O204" s="26"/>
      <c r="P204" s="26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26"/>
      <c r="L205" s="26"/>
      <c r="M205" s="26"/>
      <c r="N205" s="26"/>
      <c r="O205" s="26"/>
      <c r="P205" s="26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26"/>
      <c r="L206" s="26"/>
      <c r="M206" s="26"/>
      <c r="N206" s="26"/>
      <c r="O206" s="26"/>
      <c r="P206" s="26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26"/>
      <c r="L207" s="26"/>
      <c r="M207" s="26"/>
      <c r="N207" s="26"/>
      <c r="O207" s="26"/>
      <c r="P207" s="26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26"/>
      <c r="L208" s="26"/>
      <c r="M208" s="26"/>
      <c r="N208" s="26"/>
      <c r="O208" s="26"/>
      <c r="P208" s="26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26"/>
      <c r="L209" s="26"/>
      <c r="M209" s="26"/>
      <c r="N209" s="26"/>
      <c r="O209" s="26"/>
      <c r="P209" s="26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26"/>
      <c r="L210" s="26"/>
      <c r="M210" s="26"/>
      <c r="N210" s="26"/>
      <c r="O210" s="26"/>
      <c r="P210" s="26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26"/>
      <c r="L211" s="26"/>
      <c r="M211" s="26"/>
      <c r="N211" s="26"/>
      <c r="O211" s="26"/>
      <c r="P211" s="26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26"/>
      <c r="L212" s="26"/>
      <c r="M212" s="26"/>
      <c r="N212" s="26"/>
      <c r="O212" s="26"/>
      <c r="P212" s="26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26"/>
      <c r="L213" s="26"/>
      <c r="M213" s="26"/>
      <c r="N213" s="26"/>
      <c r="O213" s="26"/>
      <c r="P213" s="26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26"/>
      <c r="L214" s="26"/>
      <c r="M214" s="26"/>
      <c r="N214" s="26"/>
      <c r="O214" s="26"/>
      <c r="P214" s="26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26"/>
      <c r="L215" s="26"/>
      <c r="M215" s="26"/>
      <c r="N215" s="26"/>
      <c r="O215" s="26"/>
      <c r="P215" s="26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26"/>
      <c r="L216" s="26"/>
      <c r="M216" s="26"/>
      <c r="N216" s="26"/>
      <c r="O216" s="26"/>
      <c r="P216" s="26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26"/>
      <c r="L217" s="26"/>
      <c r="M217" s="26"/>
      <c r="N217" s="26"/>
      <c r="O217" s="26"/>
      <c r="P217" s="26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26"/>
      <c r="L218" s="26"/>
      <c r="M218" s="26"/>
      <c r="N218" s="26"/>
      <c r="O218" s="26"/>
      <c r="P218" s="26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26"/>
      <c r="L219" s="26"/>
      <c r="M219" s="26"/>
      <c r="N219" s="26"/>
      <c r="O219" s="26"/>
      <c r="P219" s="26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26"/>
      <c r="L220" s="26"/>
      <c r="M220" s="26"/>
      <c r="N220" s="26"/>
      <c r="O220" s="26"/>
      <c r="P220" s="26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26"/>
      <c r="L221" s="26"/>
      <c r="M221" s="26"/>
      <c r="N221" s="26"/>
      <c r="O221" s="26"/>
      <c r="P221" s="26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26"/>
      <c r="L222" s="26"/>
      <c r="M222" s="26"/>
      <c r="N222" s="26"/>
      <c r="O222" s="26"/>
      <c r="P222" s="26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26"/>
      <c r="L223" s="26"/>
      <c r="M223" s="26"/>
      <c r="N223" s="26"/>
      <c r="O223" s="26"/>
      <c r="P223" s="26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26"/>
      <c r="L224" s="26"/>
      <c r="M224" s="26"/>
      <c r="N224" s="26"/>
      <c r="O224" s="26"/>
      <c r="P224" s="26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26"/>
      <c r="L225" s="26"/>
      <c r="M225" s="26"/>
      <c r="N225" s="26"/>
      <c r="O225" s="26"/>
      <c r="P225" s="26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26"/>
      <c r="L226" s="26"/>
      <c r="M226" s="26"/>
      <c r="N226" s="26"/>
      <c r="O226" s="26"/>
      <c r="P226" s="26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26"/>
      <c r="L227" s="26"/>
      <c r="M227" s="26"/>
      <c r="N227" s="26"/>
      <c r="O227" s="26"/>
      <c r="P227" s="26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26"/>
      <c r="L228" s="26"/>
      <c r="M228" s="26"/>
      <c r="N228" s="26"/>
      <c r="O228" s="26"/>
      <c r="P228" s="26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26"/>
      <c r="L229" s="26"/>
      <c r="M229" s="26"/>
      <c r="N229" s="26"/>
      <c r="O229" s="26"/>
      <c r="P229" s="26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26"/>
      <c r="L230" s="26"/>
      <c r="M230" s="26"/>
      <c r="N230" s="26"/>
      <c r="O230" s="26"/>
      <c r="P230" s="26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26"/>
      <c r="L231" s="26"/>
      <c r="M231" s="26"/>
      <c r="N231" s="26"/>
      <c r="O231" s="26"/>
      <c r="P231" s="26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26"/>
      <c r="L232" s="26"/>
      <c r="M232" s="26"/>
      <c r="N232" s="26"/>
      <c r="O232" s="26"/>
      <c r="P232" s="26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26"/>
      <c r="L233" s="26"/>
      <c r="M233" s="26"/>
      <c r="N233" s="26"/>
      <c r="O233" s="26"/>
      <c r="P233" s="26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26"/>
      <c r="L234" s="26"/>
      <c r="M234" s="26"/>
      <c r="N234" s="26"/>
      <c r="O234" s="26"/>
      <c r="P234" s="26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26"/>
      <c r="L235" s="26"/>
      <c r="M235" s="26"/>
      <c r="N235" s="26"/>
      <c r="O235" s="26"/>
      <c r="P235" s="26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26"/>
      <c r="L236" s="26"/>
      <c r="M236" s="26"/>
      <c r="N236" s="26"/>
      <c r="O236" s="26"/>
      <c r="P236" s="26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26"/>
      <c r="L237" s="26"/>
      <c r="M237" s="26"/>
      <c r="N237" s="26"/>
      <c r="O237" s="26"/>
      <c r="P237" s="26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26"/>
      <c r="L238" s="26"/>
      <c r="M238" s="26"/>
      <c r="N238" s="26"/>
      <c r="O238" s="26"/>
      <c r="P238" s="26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26"/>
      <c r="L239" s="26"/>
      <c r="M239" s="26"/>
      <c r="N239" s="26"/>
      <c r="O239" s="26"/>
      <c r="P239" s="26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26"/>
      <c r="L240" s="26"/>
      <c r="M240" s="26"/>
      <c r="N240" s="26"/>
      <c r="O240" s="26"/>
      <c r="P240" s="26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26"/>
      <c r="L241" s="26"/>
      <c r="M241" s="26"/>
      <c r="N241" s="26"/>
      <c r="O241" s="26"/>
      <c r="P241" s="26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26"/>
      <c r="L242" s="26"/>
      <c r="M242" s="26"/>
      <c r="N242" s="26"/>
      <c r="O242" s="26"/>
      <c r="P242" s="26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26"/>
      <c r="L243" s="26"/>
      <c r="M243" s="26"/>
      <c r="N243" s="26"/>
      <c r="O243" s="26"/>
      <c r="P243" s="26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26"/>
      <c r="L244" s="26"/>
      <c r="M244" s="26"/>
      <c r="N244" s="26"/>
      <c r="O244" s="26"/>
      <c r="P244" s="26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26"/>
      <c r="L245" s="26"/>
      <c r="M245" s="26"/>
      <c r="N245" s="26"/>
      <c r="O245" s="26"/>
      <c r="P245" s="26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26"/>
      <c r="L246" s="26"/>
      <c r="M246" s="26"/>
      <c r="N246" s="26"/>
      <c r="O246" s="26"/>
      <c r="P246" s="26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26"/>
      <c r="L247" s="26"/>
      <c r="M247" s="26"/>
      <c r="N247" s="26"/>
      <c r="O247" s="26"/>
      <c r="P247" s="26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26"/>
      <c r="L248" s="26"/>
      <c r="M248" s="26"/>
      <c r="N248" s="26"/>
      <c r="O248" s="26"/>
      <c r="P248" s="26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26"/>
      <c r="L249" s="26"/>
      <c r="M249" s="26"/>
      <c r="N249" s="26"/>
      <c r="O249" s="26"/>
      <c r="P249" s="26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26"/>
      <c r="L250" s="26"/>
      <c r="M250" s="26"/>
      <c r="N250" s="26"/>
      <c r="O250" s="26"/>
      <c r="P250" s="26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26"/>
      <c r="L251" s="26"/>
      <c r="M251" s="26"/>
      <c r="N251" s="26"/>
      <c r="O251" s="26"/>
      <c r="P251" s="26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26"/>
      <c r="L252" s="26"/>
      <c r="M252" s="26"/>
      <c r="N252" s="26"/>
      <c r="O252" s="26"/>
      <c r="P252" s="26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26"/>
      <c r="L253" s="26"/>
      <c r="M253" s="26"/>
      <c r="N253" s="26"/>
      <c r="O253" s="26"/>
      <c r="P253" s="26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26"/>
      <c r="L254" s="26"/>
      <c r="M254" s="26"/>
      <c r="N254" s="26"/>
      <c r="O254" s="26"/>
      <c r="P254" s="26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26"/>
      <c r="L255" s="26"/>
      <c r="M255" s="26"/>
      <c r="N255" s="26"/>
      <c r="O255" s="26"/>
      <c r="P255" s="26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26"/>
      <c r="L256" s="26"/>
      <c r="M256" s="26"/>
      <c r="N256" s="26"/>
      <c r="O256" s="26"/>
      <c r="P256" s="26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26"/>
      <c r="L257" s="26"/>
      <c r="M257" s="26"/>
      <c r="N257" s="26"/>
      <c r="O257" s="26"/>
      <c r="P257" s="26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26"/>
      <c r="L258" s="26"/>
      <c r="M258" s="26"/>
      <c r="N258" s="26"/>
      <c r="O258" s="26"/>
      <c r="P258" s="26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26"/>
      <c r="L259" s="26"/>
      <c r="M259" s="26"/>
      <c r="N259" s="26"/>
      <c r="O259" s="26"/>
      <c r="P259" s="26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26"/>
      <c r="L260" s="26"/>
      <c r="M260" s="26"/>
      <c r="N260" s="26"/>
      <c r="O260" s="26"/>
      <c r="P260" s="26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26"/>
      <c r="L261" s="26"/>
      <c r="M261" s="26"/>
      <c r="N261" s="26"/>
      <c r="O261" s="26"/>
      <c r="P261" s="26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26"/>
      <c r="L262" s="26"/>
      <c r="M262" s="26"/>
      <c r="N262" s="26"/>
      <c r="O262" s="26"/>
      <c r="P262" s="26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26"/>
      <c r="L263" s="26"/>
      <c r="M263" s="26"/>
      <c r="N263" s="26"/>
      <c r="O263" s="26"/>
      <c r="P263" s="26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26"/>
      <c r="L264" s="26"/>
      <c r="M264" s="26"/>
      <c r="N264" s="26"/>
      <c r="O264" s="26"/>
      <c r="P264" s="26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26"/>
      <c r="L265" s="26"/>
      <c r="M265" s="26"/>
      <c r="N265" s="26"/>
      <c r="O265" s="26"/>
      <c r="P265" s="26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26"/>
      <c r="L266" s="26"/>
      <c r="M266" s="26"/>
      <c r="N266" s="26"/>
      <c r="O266" s="26"/>
      <c r="P266" s="26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26"/>
      <c r="L267" s="26"/>
      <c r="M267" s="26"/>
      <c r="N267" s="26"/>
      <c r="O267" s="26"/>
      <c r="P267" s="26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26"/>
      <c r="L268" s="26"/>
      <c r="M268" s="26"/>
      <c r="N268" s="26"/>
      <c r="O268" s="26"/>
      <c r="P268" s="26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26"/>
      <c r="L269" s="26"/>
      <c r="M269" s="26"/>
      <c r="N269" s="26"/>
      <c r="O269" s="26"/>
      <c r="P269" s="26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26"/>
      <c r="L270" s="26"/>
      <c r="M270" s="26"/>
      <c r="N270" s="26"/>
      <c r="O270" s="26"/>
      <c r="P270" s="26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26"/>
      <c r="L271" s="26"/>
      <c r="M271" s="26"/>
      <c r="N271" s="26"/>
      <c r="O271" s="26"/>
      <c r="P271" s="26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26"/>
      <c r="L272" s="26"/>
      <c r="M272" s="26"/>
      <c r="N272" s="26"/>
      <c r="O272" s="26"/>
      <c r="P272" s="26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26"/>
      <c r="L273" s="26"/>
      <c r="M273" s="26"/>
      <c r="N273" s="26"/>
      <c r="O273" s="26"/>
      <c r="P273" s="26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26"/>
      <c r="L274" s="26"/>
      <c r="M274" s="26"/>
      <c r="N274" s="26"/>
      <c r="O274" s="26"/>
      <c r="P274" s="26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26"/>
      <c r="L275" s="26"/>
      <c r="M275" s="26"/>
      <c r="N275" s="26"/>
      <c r="O275" s="26"/>
      <c r="P275" s="26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26"/>
      <c r="L276" s="26"/>
      <c r="M276" s="26"/>
      <c r="N276" s="26"/>
      <c r="O276" s="26"/>
      <c r="P276" s="26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26"/>
      <c r="L277" s="26"/>
      <c r="M277" s="26"/>
      <c r="N277" s="26"/>
      <c r="O277" s="26"/>
      <c r="P277" s="26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26"/>
      <c r="L278" s="26"/>
      <c r="M278" s="26"/>
      <c r="N278" s="26"/>
      <c r="O278" s="26"/>
      <c r="P278" s="26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26"/>
      <c r="L279" s="26"/>
      <c r="M279" s="26"/>
      <c r="N279" s="26"/>
      <c r="O279" s="26"/>
      <c r="P279" s="26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26"/>
      <c r="L280" s="26"/>
      <c r="M280" s="26"/>
      <c r="N280" s="26"/>
      <c r="O280" s="26"/>
      <c r="P280" s="26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26"/>
      <c r="L281" s="26"/>
      <c r="M281" s="26"/>
      <c r="N281" s="26"/>
      <c r="O281" s="26"/>
      <c r="P281" s="26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26"/>
      <c r="L282" s="26"/>
      <c r="M282" s="26"/>
      <c r="N282" s="26"/>
      <c r="O282" s="26"/>
      <c r="P282" s="26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26"/>
      <c r="L283" s="26"/>
      <c r="M283" s="26"/>
      <c r="N283" s="26"/>
      <c r="O283" s="26"/>
      <c r="P283" s="26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26"/>
      <c r="L284" s="26"/>
      <c r="M284" s="26"/>
      <c r="N284" s="26"/>
      <c r="O284" s="26"/>
      <c r="P284" s="26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26"/>
      <c r="L285" s="26"/>
      <c r="M285" s="26"/>
      <c r="N285" s="26"/>
      <c r="O285" s="26"/>
      <c r="P285" s="26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26"/>
      <c r="L286" s="26"/>
      <c r="M286" s="26"/>
      <c r="N286" s="26"/>
      <c r="O286" s="26"/>
      <c r="P286" s="26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26"/>
      <c r="L287" s="26"/>
      <c r="M287" s="26"/>
      <c r="N287" s="26"/>
      <c r="O287" s="26"/>
      <c r="P287" s="26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26"/>
      <c r="L288" s="26"/>
      <c r="M288" s="26"/>
      <c r="N288" s="26"/>
      <c r="O288" s="26"/>
      <c r="P288" s="26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26"/>
      <c r="L289" s="26"/>
      <c r="M289" s="26"/>
      <c r="N289" s="26"/>
      <c r="O289" s="26"/>
      <c r="P289" s="26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26"/>
      <c r="L290" s="26"/>
      <c r="M290" s="26"/>
      <c r="N290" s="26"/>
      <c r="O290" s="26"/>
      <c r="P290" s="26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26"/>
      <c r="L291" s="26"/>
      <c r="M291" s="26"/>
      <c r="N291" s="26"/>
      <c r="O291" s="26"/>
      <c r="P291" s="26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26"/>
      <c r="L292" s="26"/>
      <c r="M292" s="26"/>
      <c r="N292" s="26"/>
      <c r="O292" s="26"/>
      <c r="P292" s="26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26"/>
      <c r="L293" s="26"/>
      <c r="M293" s="26"/>
      <c r="N293" s="26"/>
      <c r="O293" s="26"/>
      <c r="P293" s="26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26"/>
      <c r="L294" s="26"/>
      <c r="M294" s="26"/>
      <c r="N294" s="26"/>
      <c r="O294" s="26"/>
      <c r="P294" s="26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26"/>
      <c r="L295" s="26"/>
      <c r="M295" s="26"/>
      <c r="N295" s="26"/>
      <c r="O295" s="26"/>
      <c r="P295" s="26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26"/>
      <c r="L296" s="26"/>
      <c r="M296" s="26"/>
      <c r="N296" s="26"/>
      <c r="O296" s="26"/>
      <c r="P296" s="26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26"/>
      <c r="L297" s="26"/>
      <c r="M297" s="26"/>
      <c r="N297" s="26"/>
      <c r="O297" s="26"/>
      <c r="P297" s="26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26"/>
      <c r="L298" s="26"/>
      <c r="M298" s="26"/>
      <c r="N298" s="26"/>
      <c r="O298" s="26"/>
      <c r="P298" s="26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26"/>
      <c r="L299" s="26"/>
      <c r="M299" s="26"/>
      <c r="N299" s="26"/>
      <c r="O299" s="26"/>
      <c r="P299" s="26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26"/>
      <c r="L300" s="26"/>
      <c r="M300" s="26"/>
      <c r="N300" s="26"/>
      <c r="O300" s="26"/>
      <c r="P300" s="26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26"/>
      <c r="L301" s="26"/>
      <c r="M301" s="26"/>
      <c r="N301" s="26"/>
      <c r="O301" s="26"/>
      <c r="P301" s="26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26"/>
      <c r="L302" s="26"/>
      <c r="M302" s="26"/>
      <c r="N302" s="26"/>
      <c r="O302" s="26"/>
      <c r="P302" s="26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26"/>
      <c r="L303" s="26"/>
      <c r="M303" s="26"/>
      <c r="N303" s="26"/>
      <c r="O303" s="26"/>
      <c r="P303" s="26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26"/>
      <c r="L304" s="26"/>
      <c r="M304" s="26"/>
      <c r="N304" s="26"/>
      <c r="O304" s="26"/>
      <c r="P304" s="26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26"/>
      <c r="L305" s="26"/>
      <c r="M305" s="26"/>
      <c r="N305" s="26"/>
      <c r="O305" s="26"/>
      <c r="P305" s="26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26"/>
      <c r="L306" s="26"/>
      <c r="M306" s="26"/>
      <c r="N306" s="26"/>
      <c r="O306" s="26"/>
      <c r="P306" s="26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26"/>
      <c r="L307" s="26"/>
      <c r="M307" s="26"/>
      <c r="N307" s="26"/>
      <c r="O307" s="26"/>
      <c r="P307" s="26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26"/>
      <c r="L308" s="26"/>
      <c r="M308" s="26"/>
      <c r="N308" s="26"/>
      <c r="O308" s="26"/>
      <c r="P308" s="26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26"/>
      <c r="L309" s="26"/>
      <c r="M309" s="26"/>
      <c r="N309" s="26"/>
      <c r="O309" s="26"/>
      <c r="P309" s="26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26"/>
      <c r="L310" s="26"/>
      <c r="M310" s="26"/>
      <c r="N310" s="26"/>
      <c r="O310" s="26"/>
      <c r="P310" s="26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26"/>
      <c r="L311" s="26"/>
      <c r="M311" s="26"/>
      <c r="N311" s="26"/>
      <c r="O311" s="26"/>
      <c r="P311" s="26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26"/>
      <c r="L312" s="26"/>
      <c r="M312" s="26"/>
      <c r="N312" s="26"/>
      <c r="O312" s="26"/>
      <c r="P312" s="26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26"/>
      <c r="L313" s="26"/>
      <c r="M313" s="26"/>
      <c r="N313" s="26"/>
      <c r="O313" s="26"/>
      <c r="P313" s="26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26"/>
      <c r="L314" s="26"/>
      <c r="M314" s="26"/>
      <c r="N314" s="26"/>
      <c r="O314" s="26"/>
      <c r="P314" s="26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26"/>
      <c r="L315" s="26"/>
      <c r="M315" s="26"/>
      <c r="N315" s="26"/>
      <c r="O315" s="26"/>
      <c r="P315" s="26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26"/>
      <c r="L316" s="26"/>
      <c r="M316" s="26"/>
      <c r="N316" s="26"/>
      <c r="O316" s="26"/>
      <c r="P316" s="26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26"/>
      <c r="L317" s="26"/>
      <c r="M317" s="26"/>
      <c r="N317" s="26"/>
      <c r="O317" s="26"/>
      <c r="P317" s="26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26"/>
      <c r="L318" s="26"/>
      <c r="M318" s="26"/>
      <c r="N318" s="26"/>
      <c r="O318" s="26"/>
      <c r="P318" s="26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26"/>
      <c r="L319" s="26"/>
      <c r="M319" s="26"/>
      <c r="N319" s="26"/>
      <c r="O319" s="26"/>
      <c r="P319" s="26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26"/>
      <c r="L320" s="26"/>
      <c r="M320" s="26"/>
      <c r="N320" s="26"/>
      <c r="O320" s="26"/>
      <c r="P320" s="26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26"/>
      <c r="L321" s="26"/>
      <c r="M321" s="26"/>
      <c r="N321" s="26"/>
      <c r="O321" s="26"/>
      <c r="P321" s="26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26"/>
      <c r="L322" s="26"/>
      <c r="M322" s="26"/>
      <c r="N322" s="26"/>
      <c r="O322" s="26"/>
      <c r="P322" s="26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26"/>
      <c r="L323" s="26"/>
      <c r="M323" s="26"/>
      <c r="N323" s="26"/>
      <c r="O323" s="26"/>
      <c r="P323" s="26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26"/>
      <c r="L324" s="26"/>
      <c r="M324" s="26"/>
      <c r="N324" s="26"/>
      <c r="O324" s="26"/>
      <c r="P324" s="26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26"/>
      <c r="L325" s="26"/>
      <c r="M325" s="26"/>
      <c r="N325" s="26"/>
      <c r="O325" s="26"/>
      <c r="P325" s="26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26"/>
      <c r="L326" s="26"/>
      <c r="M326" s="26"/>
      <c r="N326" s="26"/>
      <c r="O326" s="26"/>
      <c r="P326" s="26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26"/>
      <c r="L327" s="26"/>
      <c r="M327" s="26"/>
      <c r="N327" s="26"/>
      <c r="O327" s="26"/>
      <c r="P327" s="26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26"/>
      <c r="L328" s="26"/>
      <c r="M328" s="26"/>
      <c r="N328" s="26"/>
      <c r="O328" s="26"/>
      <c r="P328" s="26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26"/>
      <c r="L329" s="26"/>
      <c r="M329" s="26"/>
      <c r="N329" s="26"/>
      <c r="O329" s="26"/>
      <c r="P329" s="26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26"/>
      <c r="L330" s="26"/>
      <c r="M330" s="26"/>
      <c r="N330" s="26"/>
      <c r="O330" s="26"/>
      <c r="P330" s="26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26"/>
      <c r="L331" s="26"/>
      <c r="M331" s="26"/>
      <c r="N331" s="26"/>
      <c r="O331" s="26"/>
      <c r="P331" s="26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26"/>
      <c r="L332" s="26"/>
      <c r="M332" s="26"/>
      <c r="N332" s="26"/>
      <c r="O332" s="26"/>
      <c r="P332" s="26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26"/>
      <c r="L333" s="26"/>
      <c r="M333" s="26"/>
      <c r="N333" s="26"/>
      <c r="O333" s="26"/>
      <c r="P333" s="26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26"/>
      <c r="L334" s="26"/>
      <c r="M334" s="26"/>
      <c r="N334" s="26"/>
      <c r="O334" s="26"/>
      <c r="P334" s="26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26"/>
      <c r="L335" s="26"/>
      <c r="M335" s="26"/>
      <c r="N335" s="26"/>
      <c r="O335" s="26"/>
      <c r="P335" s="26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26"/>
      <c r="L336" s="26"/>
      <c r="M336" s="26"/>
      <c r="N336" s="26"/>
      <c r="O336" s="26"/>
      <c r="P336" s="26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26"/>
      <c r="L337" s="26"/>
      <c r="M337" s="26"/>
      <c r="N337" s="26"/>
      <c r="O337" s="26"/>
      <c r="P337" s="26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26"/>
      <c r="L338" s="26"/>
      <c r="M338" s="26"/>
      <c r="N338" s="26"/>
      <c r="O338" s="26"/>
      <c r="P338" s="26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26"/>
      <c r="L339" s="26"/>
      <c r="M339" s="26"/>
      <c r="N339" s="26"/>
      <c r="O339" s="26"/>
      <c r="P339" s="26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26"/>
      <c r="L340" s="26"/>
      <c r="M340" s="26"/>
      <c r="N340" s="26"/>
      <c r="O340" s="26"/>
      <c r="P340" s="26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26"/>
      <c r="L341" s="26"/>
      <c r="M341" s="26"/>
      <c r="N341" s="26"/>
      <c r="O341" s="26"/>
      <c r="P341" s="26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26"/>
      <c r="L342" s="26"/>
      <c r="M342" s="26"/>
      <c r="N342" s="26"/>
      <c r="O342" s="26"/>
      <c r="P342" s="26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26"/>
      <c r="L343" s="26"/>
      <c r="M343" s="26"/>
      <c r="N343" s="26"/>
      <c r="O343" s="26"/>
      <c r="P343" s="26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26"/>
      <c r="L344" s="26"/>
      <c r="M344" s="26"/>
      <c r="N344" s="26"/>
      <c r="O344" s="26"/>
      <c r="P344" s="26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26"/>
      <c r="L345" s="26"/>
      <c r="M345" s="26"/>
      <c r="N345" s="26"/>
      <c r="O345" s="26"/>
      <c r="P345" s="26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26"/>
      <c r="L346" s="26"/>
      <c r="M346" s="26"/>
      <c r="N346" s="26"/>
      <c r="O346" s="26"/>
      <c r="P346" s="26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26"/>
      <c r="L347" s="26"/>
      <c r="M347" s="26"/>
      <c r="N347" s="26"/>
      <c r="O347" s="26"/>
      <c r="P347" s="26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26"/>
      <c r="L348" s="26"/>
      <c r="M348" s="26"/>
      <c r="N348" s="26"/>
      <c r="O348" s="26"/>
      <c r="P348" s="26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26"/>
      <c r="L349" s="26"/>
      <c r="M349" s="26"/>
      <c r="N349" s="26"/>
      <c r="O349" s="26"/>
      <c r="P349" s="26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26"/>
      <c r="L350" s="26"/>
      <c r="M350" s="26"/>
      <c r="N350" s="26"/>
      <c r="O350" s="26"/>
      <c r="P350" s="26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26"/>
      <c r="L351" s="26"/>
      <c r="M351" s="26"/>
      <c r="N351" s="26"/>
      <c r="O351" s="26"/>
      <c r="P351" s="26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26"/>
      <c r="L352" s="26"/>
      <c r="M352" s="26"/>
      <c r="N352" s="26"/>
      <c r="O352" s="26"/>
      <c r="P352" s="26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26"/>
      <c r="L353" s="26"/>
      <c r="M353" s="26"/>
      <c r="N353" s="26"/>
      <c r="O353" s="26"/>
      <c r="P353" s="26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26"/>
      <c r="L354" s="26"/>
      <c r="M354" s="26"/>
      <c r="N354" s="26"/>
      <c r="O354" s="26"/>
      <c r="P354" s="26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26"/>
      <c r="L355" s="26"/>
      <c r="M355" s="26"/>
      <c r="N355" s="26"/>
      <c r="O355" s="26"/>
      <c r="P355" s="26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26"/>
      <c r="L356" s="26"/>
      <c r="M356" s="26"/>
      <c r="N356" s="26"/>
      <c r="O356" s="26"/>
      <c r="P356" s="26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26"/>
      <c r="L357" s="26"/>
      <c r="M357" s="26"/>
      <c r="N357" s="26"/>
      <c r="O357" s="26"/>
      <c r="P357" s="26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26"/>
      <c r="L358" s="26"/>
      <c r="M358" s="26"/>
      <c r="N358" s="26"/>
      <c r="O358" s="26"/>
      <c r="P358" s="26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26"/>
      <c r="L359" s="26"/>
      <c r="M359" s="26"/>
      <c r="N359" s="26"/>
      <c r="O359" s="26"/>
      <c r="P359" s="26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26"/>
      <c r="L360" s="26"/>
      <c r="M360" s="26"/>
      <c r="N360" s="26"/>
      <c r="O360" s="26"/>
      <c r="P360" s="26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26"/>
      <c r="L361" s="26"/>
      <c r="M361" s="26"/>
      <c r="N361" s="26"/>
      <c r="O361" s="26"/>
      <c r="P361" s="26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26"/>
      <c r="L362" s="26"/>
      <c r="M362" s="26"/>
      <c r="N362" s="26"/>
      <c r="O362" s="26"/>
      <c r="P362" s="26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26"/>
      <c r="L363" s="26"/>
      <c r="M363" s="26"/>
      <c r="N363" s="26"/>
      <c r="O363" s="26"/>
      <c r="P363" s="26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26"/>
      <c r="L364" s="26"/>
      <c r="M364" s="26"/>
      <c r="N364" s="26"/>
      <c r="O364" s="26"/>
      <c r="P364" s="26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26"/>
      <c r="L365" s="26"/>
      <c r="M365" s="26"/>
      <c r="N365" s="26"/>
      <c r="O365" s="26"/>
      <c r="P365" s="26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26"/>
      <c r="L366" s="26"/>
      <c r="M366" s="26"/>
      <c r="N366" s="26"/>
      <c r="O366" s="26"/>
      <c r="P366" s="26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26"/>
      <c r="L367" s="26"/>
      <c r="M367" s="26"/>
      <c r="N367" s="26"/>
      <c r="O367" s="26"/>
      <c r="P367" s="26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26"/>
      <c r="L368" s="26"/>
      <c r="M368" s="26"/>
      <c r="N368" s="26"/>
      <c r="O368" s="26"/>
      <c r="P368" s="26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26"/>
      <c r="L369" s="26"/>
      <c r="M369" s="26"/>
      <c r="N369" s="26"/>
      <c r="O369" s="26"/>
      <c r="P369" s="26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26"/>
      <c r="L370" s="26"/>
      <c r="M370" s="26"/>
      <c r="N370" s="26"/>
      <c r="O370" s="26"/>
      <c r="P370" s="26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26"/>
      <c r="L371" s="26"/>
      <c r="M371" s="26"/>
      <c r="N371" s="26"/>
      <c r="O371" s="26"/>
      <c r="P371" s="26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26"/>
      <c r="L372" s="26"/>
      <c r="M372" s="26"/>
      <c r="N372" s="26"/>
      <c r="O372" s="26"/>
      <c r="P372" s="26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26"/>
      <c r="L373" s="26"/>
      <c r="M373" s="26"/>
      <c r="N373" s="26"/>
      <c r="O373" s="26"/>
      <c r="P373" s="26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26"/>
      <c r="L374" s="26"/>
      <c r="M374" s="26"/>
      <c r="N374" s="26"/>
      <c r="O374" s="26"/>
      <c r="P374" s="26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26"/>
      <c r="L375" s="26"/>
      <c r="M375" s="26"/>
      <c r="N375" s="26"/>
      <c r="O375" s="26"/>
      <c r="P375" s="26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26"/>
      <c r="L376" s="26"/>
      <c r="M376" s="26"/>
      <c r="N376" s="26"/>
      <c r="O376" s="26"/>
      <c r="P376" s="26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26"/>
      <c r="L377" s="26"/>
      <c r="M377" s="26"/>
      <c r="N377" s="26"/>
      <c r="O377" s="26"/>
      <c r="P377" s="26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26"/>
      <c r="L378" s="26"/>
      <c r="M378" s="26"/>
      <c r="N378" s="26"/>
      <c r="O378" s="26"/>
      <c r="P378" s="26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26"/>
      <c r="L379" s="26"/>
      <c r="M379" s="26"/>
      <c r="N379" s="26"/>
      <c r="O379" s="26"/>
      <c r="P379" s="26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26"/>
      <c r="L380" s="26"/>
      <c r="M380" s="26"/>
      <c r="N380" s="26"/>
      <c r="O380" s="26"/>
      <c r="P380" s="26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26"/>
      <c r="L381" s="26"/>
      <c r="M381" s="26"/>
      <c r="N381" s="26"/>
      <c r="O381" s="26"/>
      <c r="P381" s="26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26"/>
      <c r="L382" s="26"/>
      <c r="M382" s="26"/>
      <c r="N382" s="26"/>
      <c r="O382" s="26"/>
      <c r="P382" s="26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26"/>
      <c r="L383" s="26"/>
      <c r="M383" s="26"/>
      <c r="N383" s="26"/>
      <c r="O383" s="26"/>
      <c r="P383" s="26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26"/>
      <c r="L384" s="26"/>
      <c r="M384" s="26"/>
      <c r="N384" s="26"/>
      <c r="O384" s="26"/>
      <c r="P384" s="26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26"/>
      <c r="L385" s="26"/>
      <c r="M385" s="26"/>
      <c r="N385" s="26"/>
      <c r="O385" s="26"/>
      <c r="P385" s="26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26"/>
      <c r="L386" s="26"/>
      <c r="M386" s="26"/>
      <c r="N386" s="26"/>
      <c r="O386" s="26"/>
      <c r="P386" s="26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26"/>
      <c r="L387" s="26"/>
      <c r="M387" s="26"/>
      <c r="N387" s="26"/>
      <c r="O387" s="26"/>
      <c r="P387" s="26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26"/>
      <c r="L388" s="26"/>
      <c r="M388" s="26"/>
      <c r="N388" s="26"/>
      <c r="O388" s="26"/>
      <c r="P388" s="26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26"/>
      <c r="L389" s="26"/>
      <c r="M389" s="26"/>
      <c r="N389" s="26"/>
      <c r="O389" s="26"/>
      <c r="P389" s="26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26"/>
      <c r="L390" s="26"/>
      <c r="M390" s="26"/>
      <c r="N390" s="26"/>
      <c r="O390" s="26"/>
      <c r="P390" s="26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26"/>
      <c r="L391" s="26"/>
      <c r="M391" s="26"/>
      <c r="N391" s="26"/>
      <c r="O391" s="26"/>
      <c r="P391" s="26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26"/>
      <c r="L392" s="26"/>
      <c r="M392" s="26"/>
      <c r="N392" s="26"/>
      <c r="O392" s="26"/>
      <c r="P392" s="26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26"/>
      <c r="L393" s="26"/>
      <c r="M393" s="26"/>
      <c r="N393" s="26"/>
      <c r="O393" s="26"/>
      <c r="P393" s="26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26"/>
      <c r="L394" s="26"/>
      <c r="M394" s="26"/>
      <c r="N394" s="26"/>
      <c r="O394" s="26"/>
      <c r="P394" s="26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26"/>
      <c r="L395" s="26"/>
      <c r="M395" s="26"/>
      <c r="N395" s="26"/>
      <c r="O395" s="26"/>
      <c r="P395" s="26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26"/>
      <c r="L396" s="26"/>
      <c r="M396" s="26"/>
      <c r="N396" s="26"/>
      <c r="O396" s="26"/>
      <c r="P396" s="26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26"/>
      <c r="L397" s="26"/>
      <c r="M397" s="26"/>
      <c r="N397" s="26"/>
      <c r="O397" s="26"/>
      <c r="P397" s="26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26"/>
      <c r="L398" s="26"/>
      <c r="M398" s="26"/>
      <c r="N398" s="26"/>
      <c r="O398" s="26"/>
      <c r="P398" s="26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26"/>
      <c r="L399" s="26"/>
      <c r="M399" s="26"/>
      <c r="N399" s="26"/>
      <c r="O399" s="26"/>
      <c r="P399" s="26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26"/>
      <c r="L400" s="26"/>
      <c r="M400" s="26"/>
      <c r="N400" s="26"/>
      <c r="O400" s="26"/>
      <c r="P400" s="26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26"/>
      <c r="L401" s="26"/>
      <c r="M401" s="26"/>
      <c r="N401" s="26"/>
      <c r="O401" s="26"/>
      <c r="P401" s="26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26"/>
      <c r="L402" s="26"/>
      <c r="M402" s="26"/>
      <c r="N402" s="26"/>
      <c r="O402" s="26"/>
      <c r="P402" s="26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26"/>
      <c r="L403" s="26"/>
      <c r="M403" s="26"/>
      <c r="N403" s="26"/>
      <c r="O403" s="26"/>
      <c r="P403" s="26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26"/>
      <c r="L404" s="26"/>
      <c r="M404" s="26"/>
      <c r="N404" s="26"/>
      <c r="O404" s="26"/>
      <c r="P404" s="26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26"/>
      <c r="L405" s="26"/>
      <c r="M405" s="26"/>
      <c r="N405" s="26"/>
      <c r="O405" s="26"/>
      <c r="P405" s="26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26"/>
      <c r="L406" s="26"/>
      <c r="M406" s="26"/>
      <c r="N406" s="26"/>
      <c r="O406" s="26"/>
      <c r="P406" s="26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26"/>
      <c r="L407" s="26"/>
      <c r="M407" s="26"/>
      <c r="N407" s="26"/>
      <c r="O407" s="26"/>
      <c r="P407" s="26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26"/>
      <c r="L408" s="26"/>
      <c r="M408" s="26"/>
      <c r="N408" s="26"/>
      <c r="O408" s="26"/>
      <c r="P408" s="26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26"/>
      <c r="L409" s="26"/>
      <c r="M409" s="26"/>
      <c r="N409" s="26"/>
      <c r="O409" s="26"/>
      <c r="P409" s="26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26"/>
      <c r="L410" s="26"/>
      <c r="M410" s="26"/>
      <c r="N410" s="26"/>
      <c r="O410" s="26"/>
      <c r="P410" s="26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26"/>
      <c r="L411" s="26"/>
      <c r="M411" s="26"/>
      <c r="N411" s="26"/>
      <c r="O411" s="26"/>
      <c r="P411" s="26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26"/>
      <c r="L412" s="26"/>
      <c r="M412" s="26"/>
      <c r="N412" s="26"/>
      <c r="O412" s="26"/>
      <c r="P412" s="26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26"/>
      <c r="L413" s="26"/>
      <c r="M413" s="26"/>
      <c r="N413" s="26"/>
      <c r="O413" s="26"/>
      <c r="P413" s="26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26"/>
      <c r="L414" s="26"/>
      <c r="M414" s="26"/>
      <c r="N414" s="26"/>
      <c r="O414" s="26"/>
      <c r="P414" s="26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26"/>
      <c r="L415" s="26"/>
      <c r="M415" s="26"/>
      <c r="N415" s="26"/>
      <c r="O415" s="26"/>
      <c r="P415" s="26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26"/>
      <c r="L416" s="26"/>
      <c r="M416" s="26"/>
      <c r="N416" s="26"/>
      <c r="O416" s="26"/>
      <c r="P416" s="26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26"/>
      <c r="L417" s="26"/>
      <c r="M417" s="26"/>
      <c r="N417" s="26"/>
      <c r="O417" s="26"/>
      <c r="P417" s="26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26"/>
      <c r="L418" s="26"/>
      <c r="M418" s="26"/>
      <c r="N418" s="26"/>
      <c r="O418" s="26"/>
      <c r="P418" s="26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26"/>
      <c r="L419" s="26"/>
      <c r="M419" s="26"/>
      <c r="N419" s="26"/>
      <c r="O419" s="26"/>
      <c r="P419" s="26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26"/>
      <c r="L420" s="26"/>
      <c r="M420" s="26"/>
      <c r="N420" s="26"/>
      <c r="O420" s="26"/>
      <c r="P420" s="26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26"/>
      <c r="L421" s="26"/>
      <c r="M421" s="26"/>
      <c r="N421" s="26"/>
      <c r="O421" s="26"/>
      <c r="P421" s="26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26"/>
      <c r="L422" s="26"/>
      <c r="M422" s="26"/>
      <c r="N422" s="26"/>
      <c r="O422" s="26"/>
      <c r="P422" s="26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26"/>
      <c r="L423" s="26"/>
      <c r="M423" s="26"/>
      <c r="N423" s="26"/>
      <c r="O423" s="26"/>
      <c r="P423" s="26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26"/>
      <c r="L424" s="26"/>
      <c r="M424" s="26"/>
      <c r="N424" s="26"/>
      <c r="O424" s="26"/>
      <c r="P424" s="26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26"/>
      <c r="L425" s="26"/>
      <c r="M425" s="26"/>
      <c r="N425" s="26"/>
      <c r="O425" s="26"/>
      <c r="P425" s="26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26"/>
      <c r="L426" s="26"/>
      <c r="M426" s="26"/>
      <c r="N426" s="26"/>
      <c r="O426" s="26"/>
      <c r="P426" s="26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26"/>
      <c r="L427" s="26"/>
      <c r="M427" s="26"/>
      <c r="N427" s="26"/>
      <c r="O427" s="26"/>
      <c r="P427" s="26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26"/>
      <c r="L428" s="26"/>
      <c r="M428" s="26"/>
      <c r="N428" s="26"/>
      <c r="O428" s="26"/>
      <c r="P428" s="26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26"/>
      <c r="L429" s="26"/>
      <c r="M429" s="26"/>
      <c r="N429" s="26"/>
      <c r="O429" s="26"/>
      <c r="P429" s="26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26"/>
      <c r="L430" s="26"/>
      <c r="M430" s="26"/>
      <c r="N430" s="26"/>
      <c r="O430" s="26"/>
      <c r="P430" s="26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26"/>
      <c r="L431" s="26"/>
      <c r="M431" s="26"/>
      <c r="N431" s="26"/>
      <c r="O431" s="26"/>
      <c r="P431" s="26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26"/>
      <c r="L432" s="26"/>
      <c r="M432" s="26"/>
      <c r="N432" s="26"/>
      <c r="O432" s="26"/>
      <c r="P432" s="26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26"/>
      <c r="L433" s="26"/>
      <c r="M433" s="26"/>
      <c r="N433" s="26"/>
      <c r="O433" s="26"/>
      <c r="P433" s="26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26"/>
      <c r="L434" s="26"/>
      <c r="M434" s="26"/>
      <c r="N434" s="26"/>
      <c r="O434" s="26"/>
      <c r="P434" s="26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26"/>
      <c r="L435" s="26"/>
      <c r="M435" s="26"/>
      <c r="N435" s="26"/>
      <c r="O435" s="26"/>
      <c r="P435" s="26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26"/>
      <c r="L436" s="26"/>
      <c r="M436" s="26"/>
      <c r="N436" s="26"/>
      <c r="O436" s="26"/>
      <c r="P436" s="26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26"/>
      <c r="L437" s="26"/>
      <c r="M437" s="26"/>
      <c r="N437" s="26"/>
      <c r="O437" s="26"/>
      <c r="P437" s="26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26"/>
      <c r="L438" s="26"/>
      <c r="M438" s="26"/>
      <c r="N438" s="26"/>
      <c r="O438" s="26"/>
      <c r="P438" s="26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26"/>
      <c r="L439" s="26"/>
      <c r="M439" s="26"/>
      <c r="N439" s="26"/>
      <c r="O439" s="26"/>
      <c r="P439" s="26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26"/>
      <c r="L440" s="26"/>
      <c r="M440" s="26"/>
      <c r="N440" s="26"/>
      <c r="O440" s="26"/>
      <c r="P440" s="26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26"/>
      <c r="L441" s="26"/>
      <c r="M441" s="26"/>
      <c r="N441" s="26"/>
      <c r="O441" s="26"/>
      <c r="P441" s="26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26"/>
      <c r="L442" s="26"/>
      <c r="M442" s="26"/>
      <c r="N442" s="26"/>
      <c r="O442" s="26"/>
      <c r="P442" s="26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26"/>
      <c r="L443" s="26"/>
      <c r="M443" s="26"/>
      <c r="N443" s="26"/>
      <c r="O443" s="26"/>
      <c r="P443" s="26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26"/>
      <c r="L444" s="26"/>
      <c r="M444" s="26"/>
      <c r="N444" s="26"/>
      <c r="O444" s="26"/>
      <c r="P444" s="26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26"/>
      <c r="L445" s="26"/>
      <c r="M445" s="26"/>
      <c r="N445" s="26"/>
      <c r="O445" s="26"/>
      <c r="P445" s="26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26"/>
      <c r="L446" s="26"/>
      <c r="M446" s="26"/>
      <c r="N446" s="26"/>
      <c r="O446" s="26"/>
      <c r="P446" s="26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26"/>
      <c r="L447" s="26"/>
      <c r="M447" s="26"/>
      <c r="N447" s="26"/>
      <c r="O447" s="26"/>
      <c r="P447" s="26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26"/>
      <c r="L448" s="26"/>
      <c r="M448" s="26"/>
      <c r="N448" s="26"/>
      <c r="O448" s="26"/>
      <c r="P448" s="26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26"/>
      <c r="L449" s="26"/>
      <c r="M449" s="26"/>
      <c r="N449" s="26"/>
      <c r="O449" s="26"/>
      <c r="P449" s="26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26"/>
      <c r="L450" s="26"/>
      <c r="M450" s="26"/>
      <c r="N450" s="26"/>
      <c r="O450" s="26"/>
      <c r="P450" s="26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26"/>
      <c r="L451" s="26"/>
      <c r="M451" s="26"/>
      <c r="N451" s="26"/>
      <c r="O451" s="26"/>
      <c r="P451" s="26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26"/>
      <c r="L452" s="26"/>
      <c r="M452" s="26"/>
      <c r="N452" s="26"/>
      <c r="O452" s="26"/>
      <c r="P452" s="26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26"/>
      <c r="L453" s="26"/>
      <c r="M453" s="26"/>
      <c r="N453" s="26"/>
      <c r="O453" s="26"/>
      <c r="P453" s="26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26"/>
      <c r="L454" s="26"/>
      <c r="M454" s="26"/>
      <c r="N454" s="26"/>
      <c r="O454" s="26"/>
      <c r="P454" s="26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26"/>
      <c r="L455" s="26"/>
      <c r="M455" s="26"/>
      <c r="N455" s="26"/>
      <c r="O455" s="26"/>
      <c r="P455" s="26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26"/>
      <c r="L456" s="26"/>
      <c r="M456" s="26"/>
      <c r="N456" s="26"/>
      <c r="O456" s="26"/>
      <c r="P456" s="26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26"/>
      <c r="L457" s="26"/>
      <c r="M457" s="26"/>
      <c r="N457" s="26"/>
      <c r="O457" s="26"/>
      <c r="P457" s="26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26"/>
      <c r="L458" s="26"/>
      <c r="M458" s="26"/>
      <c r="N458" s="26"/>
      <c r="O458" s="26"/>
      <c r="P458" s="26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26"/>
      <c r="L459" s="26"/>
      <c r="M459" s="26"/>
      <c r="N459" s="26"/>
      <c r="O459" s="26"/>
      <c r="P459" s="26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26"/>
      <c r="L460" s="26"/>
      <c r="M460" s="26"/>
      <c r="N460" s="26"/>
      <c r="O460" s="26"/>
      <c r="P460" s="26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26"/>
      <c r="L461" s="26"/>
      <c r="M461" s="26"/>
      <c r="N461" s="26"/>
      <c r="O461" s="26"/>
      <c r="P461" s="26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26"/>
      <c r="L462" s="26"/>
      <c r="M462" s="26"/>
      <c r="N462" s="26"/>
      <c r="O462" s="26"/>
      <c r="P462" s="26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26"/>
      <c r="L463" s="26"/>
      <c r="M463" s="26"/>
      <c r="N463" s="26"/>
      <c r="O463" s="26"/>
      <c r="P463" s="26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26"/>
      <c r="L464" s="26"/>
      <c r="M464" s="26"/>
      <c r="N464" s="26"/>
      <c r="O464" s="26"/>
      <c r="P464" s="26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26"/>
      <c r="L465" s="26"/>
      <c r="M465" s="26"/>
      <c r="N465" s="26"/>
      <c r="O465" s="26"/>
      <c r="P465" s="26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26"/>
      <c r="L466" s="26"/>
      <c r="M466" s="26"/>
      <c r="N466" s="26"/>
      <c r="O466" s="26"/>
      <c r="P466" s="26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26"/>
      <c r="L467" s="26"/>
      <c r="M467" s="26"/>
      <c r="N467" s="26"/>
      <c r="O467" s="26"/>
      <c r="P467" s="26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26"/>
      <c r="L468" s="26"/>
      <c r="M468" s="26"/>
      <c r="N468" s="26"/>
      <c r="O468" s="26"/>
      <c r="P468" s="26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26"/>
      <c r="L469" s="26"/>
      <c r="M469" s="26"/>
      <c r="N469" s="26"/>
      <c r="O469" s="26"/>
      <c r="P469" s="26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26"/>
      <c r="L470" s="26"/>
      <c r="M470" s="26"/>
      <c r="N470" s="26"/>
      <c r="O470" s="26"/>
      <c r="P470" s="26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26"/>
      <c r="L471" s="26"/>
      <c r="M471" s="26"/>
      <c r="N471" s="26"/>
      <c r="O471" s="26"/>
      <c r="P471" s="26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26"/>
      <c r="L472" s="26"/>
      <c r="M472" s="26"/>
      <c r="N472" s="26"/>
      <c r="O472" s="26"/>
      <c r="P472" s="26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26"/>
      <c r="L473" s="26"/>
      <c r="M473" s="26"/>
      <c r="N473" s="26"/>
      <c r="O473" s="26"/>
      <c r="P473" s="26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26"/>
      <c r="L474" s="26"/>
      <c r="M474" s="26"/>
      <c r="N474" s="26"/>
      <c r="O474" s="26"/>
      <c r="P474" s="26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26"/>
      <c r="L475" s="26"/>
      <c r="M475" s="26"/>
      <c r="N475" s="26"/>
      <c r="O475" s="26"/>
      <c r="P475" s="26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26"/>
      <c r="L476" s="26"/>
      <c r="M476" s="26"/>
      <c r="N476" s="26"/>
      <c r="O476" s="26"/>
      <c r="P476" s="26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26"/>
      <c r="L477" s="26"/>
      <c r="M477" s="26"/>
      <c r="N477" s="26"/>
      <c r="O477" s="26"/>
      <c r="P477" s="26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26"/>
      <c r="L478" s="26"/>
      <c r="M478" s="26"/>
      <c r="N478" s="26"/>
      <c r="O478" s="26"/>
      <c r="P478" s="26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26"/>
      <c r="L479" s="26"/>
      <c r="M479" s="26"/>
      <c r="N479" s="26"/>
      <c r="O479" s="26"/>
      <c r="P479" s="26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26"/>
      <c r="L480" s="26"/>
      <c r="M480" s="26"/>
      <c r="N480" s="26"/>
      <c r="O480" s="26"/>
      <c r="P480" s="26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26"/>
      <c r="L481" s="26"/>
      <c r="M481" s="26"/>
      <c r="N481" s="26"/>
      <c r="O481" s="26"/>
      <c r="P481" s="26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26"/>
      <c r="L482" s="26"/>
      <c r="M482" s="26"/>
      <c r="N482" s="26"/>
      <c r="O482" s="26"/>
      <c r="P482" s="26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26"/>
      <c r="L483" s="26"/>
      <c r="M483" s="26"/>
      <c r="N483" s="26"/>
      <c r="O483" s="26"/>
      <c r="P483" s="26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26"/>
      <c r="L484" s="26"/>
      <c r="M484" s="26"/>
      <c r="N484" s="26"/>
      <c r="O484" s="26"/>
      <c r="P484" s="26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26"/>
      <c r="L485" s="26"/>
      <c r="M485" s="26"/>
      <c r="N485" s="26"/>
      <c r="O485" s="26"/>
      <c r="P485" s="26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26"/>
      <c r="L486" s="26"/>
      <c r="M486" s="26"/>
      <c r="N486" s="26"/>
      <c r="O486" s="26"/>
      <c r="P486" s="26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26"/>
      <c r="L487" s="26"/>
      <c r="M487" s="26"/>
      <c r="N487" s="26"/>
      <c r="O487" s="26"/>
      <c r="P487" s="26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26"/>
      <c r="L488" s="26"/>
      <c r="M488" s="26"/>
      <c r="N488" s="26"/>
      <c r="O488" s="26"/>
      <c r="P488" s="26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26"/>
      <c r="L489" s="26"/>
      <c r="M489" s="26"/>
      <c r="N489" s="26"/>
      <c r="O489" s="26"/>
      <c r="P489" s="26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26"/>
      <c r="L490" s="26"/>
      <c r="M490" s="26"/>
      <c r="N490" s="26"/>
      <c r="O490" s="26"/>
      <c r="P490" s="26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26"/>
      <c r="L491" s="26"/>
      <c r="M491" s="26"/>
      <c r="N491" s="26"/>
      <c r="O491" s="26"/>
      <c r="P491" s="26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26"/>
      <c r="L492" s="26"/>
      <c r="M492" s="26"/>
      <c r="N492" s="26"/>
      <c r="O492" s="26"/>
      <c r="P492" s="26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26"/>
      <c r="L493" s="26"/>
      <c r="M493" s="26"/>
      <c r="N493" s="26"/>
      <c r="O493" s="26"/>
      <c r="P493" s="26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26"/>
      <c r="L494" s="26"/>
      <c r="M494" s="26"/>
      <c r="N494" s="26"/>
      <c r="O494" s="26"/>
      <c r="P494" s="26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26"/>
      <c r="L495" s="26"/>
      <c r="M495" s="26"/>
      <c r="N495" s="26"/>
      <c r="O495" s="26"/>
      <c r="P495" s="26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26"/>
      <c r="L496" s="26"/>
      <c r="M496" s="26"/>
      <c r="N496" s="26"/>
      <c r="O496" s="26"/>
      <c r="P496" s="26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26"/>
      <c r="L497" s="26"/>
      <c r="M497" s="26"/>
      <c r="N497" s="26"/>
      <c r="O497" s="26"/>
      <c r="P497" s="26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26"/>
      <c r="L498" s="26"/>
      <c r="M498" s="26"/>
      <c r="N498" s="26"/>
      <c r="O498" s="26"/>
      <c r="P498" s="26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26"/>
      <c r="L499" s="26"/>
      <c r="M499" s="26"/>
      <c r="N499" s="26"/>
      <c r="O499" s="26"/>
      <c r="P499" s="26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26"/>
      <c r="L500" s="26"/>
      <c r="M500" s="26"/>
      <c r="N500" s="26"/>
      <c r="O500" s="26"/>
      <c r="P500" s="26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26"/>
      <c r="L501" s="26"/>
      <c r="M501" s="26"/>
      <c r="N501" s="26"/>
      <c r="O501" s="26"/>
      <c r="P501" s="26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26"/>
      <c r="L502" s="26"/>
      <c r="M502" s="26"/>
      <c r="N502" s="26"/>
      <c r="O502" s="26"/>
      <c r="P502" s="26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26"/>
      <c r="L503" s="26"/>
      <c r="M503" s="26"/>
      <c r="N503" s="26"/>
      <c r="O503" s="26"/>
      <c r="P503" s="26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26"/>
      <c r="L504" s="26"/>
      <c r="M504" s="26"/>
      <c r="N504" s="26"/>
      <c r="O504" s="26"/>
      <c r="P504" s="26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26"/>
      <c r="L505" s="26"/>
      <c r="M505" s="26"/>
      <c r="N505" s="26"/>
      <c r="O505" s="26"/>
      <c r="P505" s="26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26"/>
      <c r="L506" s="26"/>
      <c r="M506" s="26"/>
      <c r="N506" s="26"/>
      <c r="O506" s="26"/>
      <c r="P506" s="26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26"/>
      <c r="L507" s="26"/>
      <c r="M507" s="26"/>
      <c r="N507" s="26"/>
      <c r="O507" s="26"/>
      <c r="P507" s="26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26"/>
      <c r="L508" s="26"/>
      <c r="M508" s="26"/>
      <c r="N508" s="26"/>
      <c r="O508" s="26"/>
      <c r="P508" s="26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26"/>
      <c r="L509" s="26"/>
      <c r="M509" s="26"/>
      <c r="N509" s="26"/>
      <c r="O509" s="26"/>
      <c r="P509" s="26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26"/>
      <c r="L510" s="26"/>
      <c r="M510" s="26"/>
      <c r="N510" s="26"/>
      <c r="O510" s="26"/>
      <c r="P510" s="26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26"/>
      <c r="L511" s="26"/>
      <c r="M511" s="26"/>
      <c r="N511" s="26"/>
      <c r="O511" s="26"/>
      <c r="P511" s="26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26"/>
      <c r="L512" s="26"/>
      <c r="M512" s="26"/>
      <c r="N512" s="26"/>
      <c r="O512" s="26"/>
      <c r="P512" s="26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26"/>
      <c r="L513" s="26"/>
      <c r="M513" s="26"/>
      <c r="N513" s="26"/>
      <c r="O513" s="26"/>
      <c r="P513" s="26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26"/>
      <c r="L514" s="26"/>
      <c r="M514" s="26"/>
      <c r="N514" s="26"/>
      <c r="O514" s="26"/>
      <c r="P514" s="26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26"/>
      <c r="L515" s="26"/>
      <c r="M515" s="26"/>
      <c r="N515" s="26"/>
      <c r="O515" s="26"/>
      <c r="P515" s="26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26"/>
      <c r="L516" s="26"/>
      <c r="M516" s="26"/>
      <c r="N516" s="26"/>
      <c r="O516" s="26"/>
      <c r="P516" s="26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26"/>
      <c r="L517" s="26"/>
      <c r="M517" s="26"/>
      <c r="N517" s="26"/>
      <c r="O517" s="26"/>
      <c r="P517" s="26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26"/>
      <c r="L518" s="26"/>
      <c r="M518" s="26"/>
      <c r="N518" s="26"/>
      <c r="O518" s="26"/>
      <c r="P518" s="26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26"/>
      <c r="L519" s="26"/>
      <c r="M519" s="26"/>
      <c r="N519" s="26"/>
      <c r="O519" s="26"/>
      <c r="P519" s="26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26"/>
      <c r="L520" s="26"/>
      <c r="M520" s="26"/>
      <c r="N520" s="26"/>
      <c r="O520" s="26"/>
      <c r="P520" s="26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26"/>
      <c r="L521" s="26"/>
      <c r="M521" s="26"/>
      <c r="N521" s="26"/>
      <c r="O521" s="26"/>
      <c r="P521" s="26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26"/>
      <c r="L522" s="26"/>
      <c r="M522" s="26"/>
      <c r="N522" s="26"/>
      <c r="O522" s="26"/>
      <c r="P522" s="26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26"/>
      <c r="L523" s="26"/>
      <c r="M523" s="26"/>
      <c r="N523" s="26"/>
      <c r="O523" s="26"/>
      <c r="P523" s="26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26"/>
      <c r="L524" s="26"/>
      <c r="M524" s="26"/>
      <c r="N524" s="26"/>
      <c r="O524" s="26"/>
      <c r="P524" s="26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26"/>
      <c r="L525" s="26"/>
      <c r="M525" s="26"/>
      <c r="N525" s="26"/>
      <c r="O525" s="26"/>
      <c r="P525" s="26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26"/>
      <c r="L526" s="26"/>
      <c r="M526" s="26"/>
      <c r="N526" s="26"/>
      <c r="O526" s="26"/>
      <c r="P526" s="26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26"/>
      <c r="L527" s="26"/>
      <c r="M527" s="26"/>
      <c r="N527" s="26"/>
      <c r="O527" s="26"/>
      <c r="P527" s="26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26"/>
      <c r="L528" s="26"/>
      <c r="M528" s="26"/>
      <c r="N528" s="26"/>
      <c r="O528" s="26"/>
      <c r="P528" s="26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26"/>
      <c r="L529" s="26"/>
      <c r="M529" s="26"/>
      <c r="N529" s="26"/>
      <c r="O529" s="26"/>
      <c r="P529" s="26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26"/>
      <c r="L530" s="26"/>
      <c r="M530" s="26"/>
      <c r="N530" s="26"/>
      <c r="O530" s="26"/>
      <c r="P530" s="26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26"/>
      <c r="L531" s="26"/>
      <c r="M531" s="26"/>
      <c r="N531" s="26"/>
      <c r="O531" s="26"/>
      <c r="P531" s="26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26"/>
      <c r="L532" s="26"/>
      <c r="M532" s="26"/>
      <c r="N532" s="26"/>
      <c r="O532" s="26"/>
      <c r="P532" s="26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26"/>
      <c r="L533" s="26"/>
      <c r="M533" s="26"/>
      <c r="N533" s="26"/>
      <c r="O533" s="26"/>
      <c r="P533" s="26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26"/>
      <c r="L534" s="26"/>
      <c r="M534" s="26"/>
      <c r="N534" s="26"/>
      <c r="O534" s="26"/>
      <c r="P534" s="26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26"/>
      <c r="L535" s="26"/>
      <c r="M535" s="26"/>
      <c r="N535" s="26"/>
      <c r="O535" s="26"/>
      <c r="P535" s="26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26"/>
      <c r="L536" s="26"/>
      <c r="M536" s="26"/>
      <c r="N536" s="26"/>
      <c r="O536" s="26"/>
      <c r="P536" s="26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26"/>
      <c r="L537" s="26"/>
      <c r="M537" s="26"/>
      <c r="N537" s="26"/>
      <c r="O537" s="26"/>
      <c r="P537" s="26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26"/>
      <c r="L538" s="26"/>
      <c r="M538" s="26"/>
      <c r="N538" s="26"/>
      <c r="O538" s="26"/>
      <c r="P538" s="26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26"/>
      <c r="L539" s="26"/>
      <c r="M539" s="26"/>
      <c r="N539" s="26"/>
      <c r="O539" s="26"/>
      <c r="P539" s="26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26"/>
      <c r="L540" s="26"/>
      <c r="M540" s="26"/>
      <c r="N540" s="26"/>
      <c r="O540" s="26"/>
      <c r="P540" s="26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26"/>
      <c r="L541" s="26"/>
      <c r="M541" s="26"/>
      <c r="N541" s="26"/>
      <c r="O541" s="26"/>
      <c r="P541" s="26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26"/>
      <c r="L542" s="26"/>
      <c r="M542" s="26"/>
      <c r="N542" s="26"/>
      <c r="O542" s="26"/>
      <c r="P542" s="26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26"/>
      <c r="L543" s="26"/>
      <c r="M543" s="26"/>
      <c r="N543" s="26"/>
      <c r="O543" s="26"/>
      <c r="P543" s="26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26"/>
      <c r="L544" s="26"/>
      <c r="M544" s="26"/>
      <c r="N544" s="26"/>
      <c r="O544" s="26"/>
      <c r="P544" s="26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26"/>
      <c r="L545" s="26"/>
      <c r="M545" s="26"/>
      <c r="N545" s="26"/>
      <c r="O545" s="26"/>
      <c r="P545" s="26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26"/>
      <c r="L546" s="26"/>
      <c r="M546" s="26"/>
      <c r="N546" s="26"/>
      <c r="O546" s="26"/>
      <c r="P546" s="26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26"/>
      <c r="L547" s="26"/>
      <c r="M547" s="26"/>
      <c r="N547" s="26"/>
      <c r="O547" s="26"/>
      <c r="P547" s="26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26"/>
      <c r="L548" s="26"/>
      <c r="M548" s="26"/>
      <c r="N548" s="26"/>
      <c r="O548" s="26"/>
      <c r="P548" s="26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26"/>
      <c r="L549" s="26"/>
      <c r="M549" s="26"/>
      <c r="N549" s="26"/>
      <c r="O549" s="26"/>
      <c r="P549" s="26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26"/>
      <c r="L550" s="26"/>
      <c r="M550" s="26"/>
      <c r="N550" s="26"/>
      <c r="O550" s="26"/>
      <c r="P550" s="26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26"/>
      <c r="L551" s="26"/>
      <c r="M551" s="26"/>
      <c r="N551" s="26"/>
      <c r="O551" s="26"/>
      <c r="P551" s="26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26"/>
      <c r="L552" s="26"/>
      <c r="M552" s="26"/>
      <c r="N552" s="26"/>
      <c r="O552" s="26"/>
      <c r="P552" s="26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26"/>
      <c r="L553" s="26"/>
      <c r="M553" s="26"/>
      <c r="N553" s="26"/>
      <c r="O553" s="26"/>
      <c r="P553" s="26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26"/>
      <c r="L554" s="26"/>
      <c r="M554" s="26"/>
      <c r="N554" s="26"/>
      <c r="O554" s="26"/>
      <c r="P554" s="26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26"/>
      <c r="L555" s="26"/>
      <c r="M555" s="26"/>
      <c r="N555" s="26"/>
      <c r="O555" s="26"/>
      <c r="P555" s="26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26"/>
      <c r="L556" s="26"/>
      <c r="M556" s="26"/>
      <c r="N556" s="26"/>
      <c r="O556" s="26"/>
      <c r="P556" s="26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26"/>
      <c r="L557" s="26"/>
      <c r="M557" s="26"/>
      <c r="N557" s="26"/>
      <c r="O557" s="26"/>
      <c r="P557" s="26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26"/>
      <c r="L558" s="26"/>
      <c r="M558" s="26"/>
      <c r="N558" s="26"/>
      <c r="O558" s="26"/>
      <c r="P558" s="26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26"/>
      <c r="L559" s="26"/>
      <c r="M559" s="26"/>
      <c r="N559" s="26"/>
      <c r="O559" s="26"/>
      <c r="P559" s="26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26"/>
      <c r="L560" s="26"/>
      <c r="M560" s="26"/>
      <c r="N560" s="26"/>
      <c r="O560" s="26"/>
      <c r="P560" s="26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26"/>
      <c r="L561" s="26"/>
      <c r="M561" s="26"/>
      <c r="N561" s="26"/>
      <c r="O561" s="26"/>
      <c r="P561" s="26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26"/>
      <c r="L562" s="26"/>
      <c r="M562" s="26"/>
      <c r="N562" s="26"/>
      <c r="O562" s="26"/>
      <c r="P562" s="26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26"/>
      <c r="L563" s="26"/>
      <c r="M563" s="26"/>
      <c r="N563" s="26"/>
      <c r="O563" s="26"/>
      <c r="P563" s="26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26"/>
      <c r="L564" s="26"/>
      <c r="M564" s="26"/>
      <c r="N564" s="26"/>
      <c r="O564" s="26"/>
      <c r="P564" s="26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26"/>
      <c r="L565" s="26"/>
      <c r="M565" s="26"/>
      <c r="N565" s="26"/>
      <c r="O565" s="26"/>
      <c r="P565" s="26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26"/>
      <c r="L566" s="26"/>
      <c r="M566" s="26"/>
      <c r="N566" s="26"/>
      <c r="O566" s="26"/>
      <c r="P566" s="26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26"/>
      <c r="L567" s="26"/>
      <c r="M567" s="26"/>
      <c r="N567" s="26"/>
      <c r="O567" s="26"/>
      <c r="P567" s="26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26"/>
      <c r="L568" s="26"/>
      <c r="M568" s="26"/>
      <c r="N568" s="26"/>
      <c r="O568" s="26"/>
      <c r="P568" s="26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26"/>
      <c r="L569" s="26"/>
      <c r="M569" s="26"/>
      <c r="N569" s="26"/>
      <c r="O569" s="26"/>
      <c r="P569" s="26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26"/>
      <c r="L570" s="26"/>
      <c r="M570" s="26"/>
      <c r="N570" s="26"/>
      <c r="O570" s="26"/>
      <c r="P570" s="26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26"/>
      <c r="L571" s="26"/>
      <c r="M571" s="26"/>
      <c r="N571" s="26"/>
      <c r="O571" s="26"/>
      <c r="P571" s="26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26"/>
      <c r="L572" s="26"/>
      <c r="M572" s="26"/>
      <c r="N572" s="26"/>
      <c r="O572" s="26"/>
      <c r="P572" s="26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26"/>
      <c r="L573" s="26"/>
      <c r="M573" s="26"/>
      <c r="N573" s="26"/>
      <c r="O573" s="26"/>
      <c r="P573" s="26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26"/>
      <c r="L574" s="26"/>
      <c r="M574" s="26"/>
      <c r="N574" s="26"/>
      <c r="O574" s="26"/>
      <c r="P574" s="26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26"/>
      <c r="L575" s="26"/>
      <c r="M575" s="26"/>
      <c r="N575" s="26"/>
      <c r="O575" s="26"/>
      <c r="P575" s="26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26"/>
      <c r="L576" s="26"/>
      <c r="M576" s="26"/>
      <c r="N576" s="26"/>
      <c r="O576" s="26"/>
      <c r="P576" s="26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26"/>
      <c r="L577" s="26"/>
      <c r="M577" s="26"/>
      <c r="N577" s="26"/>
      <c r="O577" s="26"/>
      <c r="P577" s="26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26"/>
      <c r="L578" s="26"/>
      <c r="M578" s="26"/>
      <c r="N578" s="26"/>
      <c r="O578" s="26"/>
      <c r="P578" s="26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26"/>
      <c r="L579" s="26"/>
      <c r="M579" s="26"/>
      <c r="N579" s="26"/>
      <c r="O579" s="26"/>
      <c r="P579" s="26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26"/>
      <c r="L580" s="26"/>
      <c r="M580" s="26"/>
      <c r="N580" s="26"/>
      <c r="O580" s="26"/>
      <c r="P580" s="26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26"/>
      <c r="L581" s="26"/>
      <c r="M581" s="26"/>
      <c r="N581" s="26"/>
      <c r="O581" s="26"/>
      <c r="P581" s="26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26"/>
      <c r="L582" s="26"/>
      <c r="M582" s="26"/>
      <c r="N582" s="26"/>
      <c r="O582" s="26"/>
      <c r="P582" s="26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26"/>
      <c r="L583" s="26"/>
      <c r="M583" s="26"/>
      <c r="N583" s="26"/>
      <c r="O583" s="26"/>
      <c r="P583" s="26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26"/>
      <c r="L584" s="26"/>
      <c r="M584" s="26"/>
      <c r="N584" s="26"/>
      <c r="O584" s="26"/>
      <c r="P584" s="26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26"/>
      <c r="L585" s="26"/>
      <c r="M585" s="26"/>
      <c r="N585" s="26"/>
      <c r="O585" s="26"/>
      <c r="P585" s="26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26"/>
      <c r="L586" s="26"/>
      <c r="M586" s="26"/>
      <c r="N586" s="26"/>
      <c r="O586" s="26"/>
      <c r="P586" s="26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26"/>
      <c r="L587" s="26"/>
      <c r="M587" s="26"/>
      <c r="N587" s="26"/>
      <c r="O587" s="26"/>
      <c r="P587" s="26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26"/>
      <c r="L588" s="26"/>
      <c r="M588" s="26"/>
      <c r="N588" s="26"/>
      <c r="O588" s="26"/>
      <c r="P588" s="26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26"/>
      <c r="L589" s="26"/>
      <c r="M589" s="26"/>
      <c r="N589" s="26"/>
      <c r="O589" s="26"/>
      <c r="P589" s="26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26"/>
      <c r="L590" s="26"/>
      <c r="M590" s="26"/>
      <c r="N590" s="26"/>
      <c r="O590" s="26"/>
      <c r="P590" s="26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26"/>
      <c r="L591" s="26"/>
      <c r="M591" s="26"/>
      <c r="N591" s="26"/>
      <c r="O591" s="26"/>
      <c r="P591" s="26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26"/>
      <c r="L592" s="26"/>
      <c r="M592" s="26"/>
      <c r="N592" s="26"/>
      <c r="O592" s="26"/>
      <c r="P592" s="26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26"/>
      <c r="L593" s="26"/>
      <c r="M593" s="26"/>
      <c r="N593" s="26"/>
      <c r="O593" s="26"/>
      <c r="P593" s="26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26"/>
      <c r="L594" s="26"/>
      <c r="M594" s="26"/>
      <c r="N594" s="26"/>
      <c r="O594" s="26"/>
      <c r="P594" s="26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26"/>
      <c r="L595" s="26"/>
      <c r="M595" s="26"/>
      <c r="N595" s="26"/>
      <c r="O595" s="26"/>
      <c r="P595" s="26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26"/>
      <c r="L596" s="26"/>
      <c r="M596" s="26"/>
      <c r="N596" s="26"/>
      <c r="O596" s="26"/>
      <c r="P596" s="26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26"/>
      <c r="L597" s="26"/>
      <c r="M597" s="26"/>
      <c r="N597" s="26"/>
      <c r="O597" s="26"/>
      <c r="P597" s="26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26"/>
      <c r="L598" s="26"/>
      <c r="M598" s="26"/>
      <c r="N598" s="26"/>
      <c r="O598" s="26"/>
      <c r="P598" s="26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26"/>
      <c r="L599" s="26"/>
      <c r="M599" s="26"/>
      <c r="N599" s="26"/>
      <c r="O599" s="26"/>
      <c r="P599" s="26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26"/>
      <c r="L600" s="26"/>
      <c r="M600" s="26"/>
      <c r="N600" s="26"/>
      <c r="O600" s="26"/>
      <c r="P600" s="26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26"/>
      <c r="L601" s="26"/>
      <c r="M601" s="26"/>
      <c r="N601" s="26"/>
      <c r="O601" s="26"/>
      <c r="P601" s="26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26"/>
      <c r="L602" s="26"/>
      <c r="M602" s="26"/>
      <c r="N602" s="26"/>
      <c r="O602" s="26"/>
      <c r="P602" s="26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26"/>
      <c r="L603" s="26"/>
      <c r="M603" s="26"/>
      <c r="N603" s="26"/>
      <c r="O603" s="26"/>
      <c r="P603" s="26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26"/>
      <c r="L604" s="26"/>
      <c r="M604" s="26"/>
      <c r="N604" s="26"/>
      <c r="O604" s="26"/>
      <c r="P604" s="26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26"/>
      <c r="L605" s="26"/>
      <c r="M605" s="26"/>
      <c r="N605" s="26"/>
      <c r="O605" s="26"/>
      <c r="P605" s="26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26"/>
      <c r="L606" s="26"/>
      <c r="M606" s="26"/>
      <c r="N606" s="26"/>
      <c r="O606" s="26"/>
      <c r="P606" s="26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26"/>
      <c r="L607" s="26"/>
      <c r="M607" s="26"/>
      <c r="N607" s="26"/>
      <c r="O607" s="26"/>
      <c r="P607" s="26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26"/>
      <c r="L608" s="26"/>
      <c r="M608" s="26"/>
      <c r="N608" s="26"/>
      <c r="O608" s="26"/>
      <c r="P608" s="26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26"/>
      <c r="L609" s="26"/>
      <c r="M609" s="26"/>
      <c r="N609" s="26"/>
      <c r="O609" s="26"/>
      <c r="P609" s="26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26"/>
      <c r="L610" s="26"/>
      <c r="M610" s="26"/>
      <c r="N610" s="26"/>
      <c r="O610" s="26"/>
      <c r="P610" s="26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26"/>
      <c r="L611" s="26"/>
      <c r="M611" s="26"/>
      <c r="N611" s="26"/>
      <c r="O611" s="26"/>
      <c r="P611" s="26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26"/>
      <c r="L612" s="26"/>
      <c r="M612" s="26"/>
      <c r="N612" s="26"/>
      <c r="O612" s="26"/>
      <c r="P612" s="26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26"/>
      <c r="L613" s="26"/>
      <c r="M613" s="26"/>
      <c r="N613" s="26"/>
      <c r="O613" s="26"/>
      <c r="P613" s="26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26"/>
      <c r="L614" s="26"/>
      <c r="M614" s="26"/>
      <c r="N614" s="26"/>
      <c r="O614" s="26"/>
      <c r="P614" s="26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26"/>
      <c r="L615" s="26"/>
      <c r="M615" s="26"/>
      <c r="N615" s="26"/>
      <c r="O615" s="26"/>
      <c r="P615" s="26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26"/>
      <c r="L616" s="26"/>
      <c r="M616" s="26"/>
      <c r="N616" s="26"/>
      <c r="O616" s="26"/>
      <c r="P616" s="26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26"/>
      <c r="L617" s="26"/>
      <c r="M617" s="26"/>
      <c r="N617" s="26"/>
      <c r="O617" s="26"/>
      <c r="P617" s="26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26"/>
      <c r="L618" s="26"/>
      <c r="M618" s="26"/>
      <c r="N618" s="26"/>
      <c r="O618" s="26"/>
      <c r="P618" s="26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26"/>
      <c r="L619" s="26"/>
      <c r="M619" s="26"/>
      <c r="N619" s="26"/>
      <c r="O619" s="26"/>
      <c r="P619" s="26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26"/>
      <c r="L620" s="26"/>
      <c r="M620" s="26"/>
      <c r="N620" s="26"/>
      <c r="O620" s="26"/>
      <c r="P620" s="26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26"/>
      <c r="L621" s="26"/>
      <c r="M621" s="26"/>
      <c r="N621" s="26"/>
      <c r="O621" s="26"/>
      <c r="P621" s="26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26"/>
      <c r="L622" s="26"/>
      <c r="M622" s="26"/>
      <c r="N622" s="26"/>
      <c r="O622" s="26"/>
      <c r="P622" s="26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26"/>
      <c r="L623" s="26"/>
      <c r="M623" s="26"/>
      <c r="N623" s="26"/>
      <c r="O623" s="26"/>
      <c r="P623" s="26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26"/>
      <c r="L624" s="26"/>
      <c r="M624" s="26"/>
      <c r="N624" s="26"/>
      <c r="O624" s="26"/>
      <c r="P624" s="26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26"/>
      <c r="L625" s="26"/>
      <c r="M625" s="26"/>
      <c r="N625" s="26"/>
      <c r="O625" s="26"/>
      <c r="P625" s="26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26"/>
      <c r="L626" s="26"/>
      <c r="M626" s="26"/>
      <c r="N626" s="26"/>
      <c r="O626" s="26"/>
      <c r="P626" s="26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26"/>
      <c r="L627" s="26"/>
      <c r="M627" s="26"/>
      <c r="N627" s="26"/>
      <c r="O627" s="26"/>
      <c r="P627" s="26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26"/>
      <c r="L628" s="26"/>
      <c r="M628" s="26"/>
      <c r="N628" s="26"/>
      <c r="O628" s="26"/>
      <c r="P628" s="26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26"/>
      <c r="L629" s="26"/>
      <c r="M629" s="26"/>
      <c r="N629" s="26"/>
      <c r="O629" s="26"/>
      <c r="P629" s="26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26"/>
      <c r="L630" s="26"/>
      <c r="M630" s="26"/>
      <c r="N630" s="26"/>
      <c r="O630" s="26"/>
      <c r="P630" s="26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26"/>
      <c r="L631" s="26"/>
      <c r="M631" s="26"/>
      <c r="N631" s="26"/>
      <c r="O631" s="26"/>
      <c r="P631" s="26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26"/>
      <c r="L632" s="26"/>
      <c r="M632" s="26"/>
      <c r="N632" s="26"/>
      <c r="O632" s="26"/>
      <c r="P632" s="26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26"/>
      <c r="L633" s="26"/>
      <c r="M633" s="26"/>
      <c r="N633" s="26"/>
      <c r="O633" s="26"/>
      <c r="P633" s="26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26"/>
      <c r="L634" s="26"/>
      <c r="M634" s="26"/>
      <c r="N634" s="26"/>
      <c r="O634" s="26"/>
      <c r="P634" s="26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26"/>
      <c r="L635" s="26"/>
      <c r="M635" s="26"/>
      <c r="N635" s="26"/>
      <c r="O635" s="26"/>
      <c r="P635" s="26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26"/>
      <c r="L636" s="26"/>
      <c r="M636" s="26"/>
      <c r="N636" s="26"/>
      <c r="O636" s="26"/>
      <c r="P636" s="26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26"/>
      <c r="L637" s="26"/>
      <c r="M637" s="26"/>
      <c r="N637" s="26"/>
      <c r="O637" s="26"/>
      <c r="P637" s="26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26"/>
      <c r="L638" s="26"/>
      <c r="M638" s="26"/>
      <c r="N638" s="26"/>
      <c r="O638" s="26"/>
      <c r="P638" s="26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26"/>
      <c r="L639" s="26"/>
      <c r="M639" s="26"/>
      <c r="N639" s="26"/>
      <c r="O639" s="26"/>
      <c r="P639" s="26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26"/>
      <c r="L640" s="26"/>
      <c r="M640" s="26"/>
      <c r="N640" s="26"/>
      <c r="O640" s="26"/>
      <c r="P640" s="26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26"/>
      <c r="L641" s="26"/>
      <c r="M641" s="26"/>
      <c r="N641" s="26"/>
      <c r="O641" s="26"/>
      <c r="P641" s="26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26"/>
      <c r="L642" s="26"/>
      <c r="M642" s="26"/>
      <c r="N642" s="26"/>
      <c r="O642" s="26"/>
      <c r="P642" s="26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26"/>
      <c r="L643" s="26"/>
      <c r="M643" s="26"/>
      <c r="N643" s="26"/>
      <c r="O643" s="26"/>
      <c r="P643" s="26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26"/>
      <c r="L644" s="26"/>
      <c r="M644" s="26"/>
      <c r="N644" s="26"/>
      <c r="O644" s="26"/>
      <c r="P644" s="26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26"/>
      <c r="L645" s="26"/>
      <c r="M645" s="26"/>
      <c r="N645" s="26"/>
      <c r="O645" s="26"/>
      <c r="P645" s="26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26"/>
      <c r="L646" s="26"/>
      <c r="M646" s="26"/>
      <c r="N646" s="26"/>
      <c r="O646" s="26"/>
      <c r="P646" s="26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26"/>
      <c r="L647" s="26"/>
      <c r="M647" s="26"/>
      <c r="N647" s="26"/>
      <c r="O647" s="26"/>
      <c r="P647" s="26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26"/>
      <c r="L648" s="26"/>
      <c r="M648" s="26"/>
      <c r="N648" s="26"/>
      <c r="O648" s="26"/>
      <c r="P648" s="26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26"/>
      <c r="L649" s="26"/>
      <c r="M649" s="26"/>
      <c r="N649" s="26"/>
      <c r="O649" s="26"/>
      <c r="P649" s="26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26"/>
      <c r="L650" s="26"/>
      <c r="M650" s="26"/>
      <c r="N650" s="26"/>
      <c r="O650" s="26"/>
      <c r="P650" s="26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26"/>
      <c r="L651" s="26"/>
      <c r="M651" s="26"/>
      <c r="N651" s="26"/>
      <c r="O651" s="26"/>
      <c r="P651" s="26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26"/>
      <c r="L652" s="26"/>
      <c r="M652" s="26"/>
      <c r="N652" s="26"/>
      <c r="O652" s="26"/>
      <c r="P652" s="26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26"/>
      <c r="L653" s="26"/>
      <c r="M653" s="26"/>
      <c r="N653" s="26"/>
      <c r="O653" s="26"/>
      <c r="P653" s="26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26"/>
      <c r="L654" s="26"/>
      <c r="M654" s="26"/>
      <c r="N654" s="26"/>
      <c r="O654" s="26"/>
      <c r="P654" s="26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26"/>
      <c r="L655" s="26"/>
      <c r="M655" s="26"/>
      <c r="N655" s="26"/>
      <c r="O655" s="26"/>
      <c r="P655" s="26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26"/>
      <c r="L656" s="26"/>
      <c r="M656" s="26"/>
      <c r="N656" s="26"/>
      <c r="O656" s="26"/>
      <c r="P656" s="26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26"/>
      <c r="L657" s="26"/>
      <c r="M657" s="26"/>
      <c r="N657" s="26"/>
      <c r="O657" s="26"/>
      <c r="P657" s="26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26"/>
      <c r="L658" s="26"/>
      <c r="M658" s="26"/>
      <c r="N658" s="26"/>
      <c r="O658" s="26"/>
      <c r="P658" s="26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26"/>
      <c r="L659" s="26"/>
      <c r="M659" s="26"/>
      <c r="N659" s="26"/>
      <c r="O659" s="26"/>
      <c r="P659" s="26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26"/>
      <c r="L660" s="26"/>
      <c r="M660" s="26"/>
      <c r="N660" s="26"/>
      <c r="O660" s="26"/>
      <c r="P660" s="26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26"/>
      <c r="L661" s="26"/>
      <c r="M661" s="26"/>
      <c r="N661" s="26"/>
      <c r="O661" s="26"/>
      <c r="P661" s="26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26"/>
      <c r="L662" s="26"/>
      <c r="M662" s="26"/>
      <c r="N662" s="26"/>
      <c r="O662" s="26"/>
      <c r="P662" s="26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26"/>
      <c r="L663" s="26"/>
      <c r="M663" s="26"/>
      <c r="N663" s="26"/>
      <c r="O663" s="26"/>
      <c r="P663" s="26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26"/>
      <c r="L664" s="26"/>
      <c r="M664" s="26"/>
      <c r="N664" s="26"/>
      <c r="O664" s="26"/>
      <c r="P664" s="26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26"/>
      <c r="L665" s="26"/>
      <c r="M665" s="26"/>
      <c r="N665" s="26"/>
      <c r="O665" s="26"/>
      <c r="P665" s="26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26"/>
      <c r="L666" s="26"/>
      <c r="M666" s="26"/>
      <c r="N666" s="26"/>
      <c r="O666" s="26"/>
      <c r="P666" s="26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26"/>
      <c r="L667" s="26"/>
      <c r="M667" s="26"/>
      <c r="N667" s="26"/>
      <c r="O667" s="26"/>
      <c r="P667" s="26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26"/>
      <c r="L668" s="26"/>
      <c r="M668" s="26"/>
      <c r="N668" s="26"/>
      <c r="O668" s="26"/>
      <c r="P668" s="26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26"/>
      <c r="L669" s="26"/>
      <c r="M669" s="26"/>
      <c r="N669" s="26"/>
      <c r="O669" s="26"/>
      <c r="P669" s="26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26"/>
      <c r="L670" s="26"/>
      <c r="M670" s="26"/>
      <c r="N670" s="26"/>
      <c r="O670" s="26"/>
      <c r="P670" s="26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26"/>
      <c r="L671" s="26"/>
      <c r="M671" s="26"/>
      <c r="N671" s="26"/>
      <c r="O671" s="26"/>
      <c r="P671" s="26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26"/>
      <c r="L672" s="26"/>
      <c r="M672" s="26"/>
      <c r="N672" s="26"/>
      <c r="O672" s="26"/>
      <c r="P672" s="26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26"/>
      <c r="L673" s="26"/>
      <c r="M673" s="26"/>
      <c r="N673" s="26"/>
      <c r="O673" s="26"/>
      <c r="P673" s="26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26"/>
      <c r="L674" s="26"/>
      <c r="M674" s="26"/>
      <c r="N674" s="26"/>
      <c r="O674" s="26"/>
      <c r="P674" s="26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26"/>
      <c r="L675" s="26"/>
      <c r="M675" s="26"/>
      <c r="N675" s="26"/>
      <c r="O675" s="26"/>
      <c r="P675" s="26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26"/>
      <c r="L676" s="26"/>
      <c r="M676" s="26"/>
      <c r="N676" s="26"/>
      <c r="O676" s="26"/>
      <c r="P676" s="26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26"/>
      <c r="L677" s="26"/>
      <c r="M677" s="26"/>
      <c r="N677" s="26"/>
      <c r="O677" s="26"/>
      <c r="P677" s="26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26"/>
      <c r="L678" s="26"/>
      <c r="M678" s="26"/>
      <c r="N678" s="26"/>
      <c r="O678" s="26"/>
      <c r="P678" s="26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26"/>
      <c r="L679" s="26"/>
      <c r="M679" s="26"/>
      <c r="N679" s="26"/>
      <c r="O679" s="26"/>
      <c r="P679" s="26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26"/>
      <c r="L680" s="26"/>
      <c r="M680" s="26"/>
      <c r="N680" s="26"/>
      <c r="O680" s="26"/>
      <c r="P680" s="26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26"/>
      <c r="L681" s="26"/>
      <c r="M681" s="26"/>
      <c r="N681" s="26"/>
      <c r="O681" s="26"/>
      <c r="P681" s="26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26"/>
      <c r="L682" s="26"/>
      <c r="M682" s="26"/>
      <c r="N682" s="26"/>
      <c r="O682" s="26"/>
      <c r="P682" s="26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26"/>
      <c r="L683" s="26"/>
      <c r="M683" s="26"/>
      <c r="N683" s="26"/>
      <c r="O683" s="26"/>
      <c r="P683" s="26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26"/>
      <c r="L684" s="26"/>
      <c r="M684" s="26"/>
      <c r="N684" s="26"/>
      <c r="O684" s="26"/>
      <c r="P684" s="26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26"/>
      <c r="L685" s="26"/>
      <c r="M685" s="26"/>
      <c r="N685" s="26"/>
      <c r="O685" s="26"/>
      <c r="P685" s="26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26"/>
      <c r="L686" s="26"/>
      <c r="M686" s="26"/>
      <c r="N686" s="26"/>
      <c r="O686" s="26"/>
      <c r="P686" s="26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26"/>
      <c r="L687" s="26"/>
      <c r="M687" s="26"/>
      <c r="N687" s="26"/>
      <c r="O687" s="26"/>
      <c r="P687" s="26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26"/>
      <c r="L688" s="26"/>
      <c r="M688" s="26"/>
      <c r="N688" s="26"/>
      <c r="O688" s="26"/>
      <c r="P688" s="26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26"/>
      <c r="L689" s="26"/>
      <c r="M689" s="26"/>
      <c r="N689" s="26"/>
      <c r="O689" s="26"/>
      <c r="P689" s="26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26"/>
      <c r="L690" s="26"/>
      <c r="M690" s="26"/>
      <c r="N690" s="26"/>
      <c r="O690" s="26"/>
      <c r="P690" s="26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26"/>
      <c r="L691" s="26"/>
      <c r="M691" s="26"/>
      <c r="N691" s="26"/>
      <c r="O691" s="26"/>
      <c r="P691" s="26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26"/>
      <c r="L692" s="26"/>
      <c r="M692" s="26"/>
      <c r="N692" s="26"/>
      <c r="O692" s="26"/>
      <c r="P692" s="26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26"/>
      <c r="L693" s="26"/>
      <c r="M693" s="26"/>
      <c r="N693" s="26"/>
      <c r="O693" s="26"/>
      <c r="P693" s="26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26"/>
      <c r="L694" s="26"/>
      <c r="M694" s="26"/>
      <c r="N694" s="26"/>
      <c r="O694" s="26"/>
      <c r="P694" s="26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26"/>
      <c r="L695" s="26"/>
      <c r="M695" s="26"/>
      <c r="N695" s="26"/>
      <c r="O695" s="26"/>
      <c r="P695" s="26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26"/>
      <c r="L696" s="26"/>
      <c r="M696" s="26"/>
      <c r="N696" s="26"/>
      <c r="O696" s="26"/>
      <c r="P696" s="26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26"/>
      <c r="L697" s="26"/>
      <c r="M697" s="26"/>
      <c r="N697" s="26"/>
      <c r="O697" s="26"/>
      <c r="P697" s="26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26"/>
      <c r="L698" s="26"/>
      <c r="M698" s="26"/>
      <c r="N698" s="26"/>
      <c r="O698" s="26"/>
      <c r="P698" s="26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26"/>
      <c r="L699" s="26"/>
      <c r="M699" s="26"/>
      <c r="N699" s="26"/>
      <c r="O699" s="26"/>
      <c r="P699" s="26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26"/>
      <c r="L700" s="26"/>
      <c r="M700" s="26"/>
      <c r="N700" s="26"/>
      <c r="O700" s="26"/>
      <c r="P700" s="26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26"/>
      <c r="L701" s="26"/>
      <c r="M701" s="26"/>
      <c r="N701" s="26"/>
      <c r="O701" s="26"/>
      <c r="P701" s="26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26"/>
      <c r="L702" s="26"/>
      <c r="M702" s="26"/>
      <c r="N702" s="26"/>
      <c r="O702" s="26"/>
      <c r="P702" s="26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26"/>
      <c r="L703" s="26"/>
      <c r="M703" s="26"/>
      <c r="N703" s="26"/>
      <c r="O703" s="26"/>
      <c r="P703" s="26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26"/>
      <c r="L704" s="26"/>
      <c r="M704" s="26"/>
      <c r="N704" s="26"/>
      <c r="O704" s="26"/>
      <c r="P704" s="26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26"/>
      <c r="L705" s="26"/>
      <c r="M705" s="26"/>
      <c r="N705" s="26"/>
      <c r="O705" s="26"/>
      <c r="P705" s="26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26"/>
      <c r="L706" s="26"/>
      <c r="M706" s="26"/>
      <c r="N706" s="26"/>
      <c r="O706" s="26"/>
      <c r="P706" s="26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26"/>
      <c r="L707" s="26"/>
      <c r="M707" s="26"/>
      <c r="N707" s="26"/>
      <c r="O707" s="26"/>
      <c r="P707" s="26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26"/>
      <c r="L708" s="26"/>
      <c r="M708" s="26"/>
      <c r="N708" s="26"/>
      <c r="O708" s="26"/>
      <c r="P708" s="26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26"/>
      <c r="L709" s="26"/>
      <c r="M709" s="26"/>
      <c r="N709" s="26"/>
      <c r="O709" s="26"/>
      <c r="P709" s="26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26"/>
      <c r="L710" s="26"/>
      <c r="M710" s="26"/>
      <c r="N710" s="26"/>
      <c r="O710" s="26"/>
      <c r="P710" s="26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26"/>
      <c r="L711" s="26"/>
      <c r="M711" s="26"/>
      <c r="N711" s="26"/>
      <c r="O711" s="26"/>
      <c r="P711" s="26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26"/>
      <c r="L712" s="26"/>
      <c r="M712" s="26"/>
      <c r="N712" s="26"/>
      <c r="O712" s="26"/>
      <c r="P712" s="26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26"/>
      <c r="L713" s="26"/>
      <c r="M713" s="26"/>
      <c r="N713" s="26"/>
      <c r="O713" s="26"/>
      <c r="P713" s="26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26"/>
      <c r="L714" s="26"/>
      <c r="M714" s="26"/>
      <c r="N714" s="26"/>
      <c r="O714" s="26"/>
      <c r="P714" s="26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26"/>
      <c r="L715" s="26"/>
      <c r="M715" s="26"/>
      <c r="N715" s="26"/>
      <c r="O715" s="26"/>
      <c r="P715" s="26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26"/>
      <c r="L716" s="26"/>
      <c r="M716" s="26"/>
      <c r="N716" s="26"/>
      <c r="O716" s="26"/>
      <c r="P716" s="26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26"/>
      <c r="L717" s="26"/>
      <c r="M717" s="26"/>
      <c r="N717" s="26"/>
      <c r="O717" s="26"/>
      <c r="P717" s="26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26"/>
      <c r="L718" s="26"/>
      <c r="M718" s="26"/>
      <c r="N718" s="26"/>
      <c r="O718" s="26"/>
      <c r="P718" s="26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26"/>
      <c r="L719" s="26"/>
      <c r="M719" s="26"/>
      <c r="N719" s="26"/>
      <c r="O719" s="26"/>
      <c r="P719" s="26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26"/>
      <c r="L720" s="26"/>
      <c r="M720" s="26"/>
      <c r="N720" s="26"/>
      <c r="O720" s="26"/>
      <c r="P720" s="26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26"/>
      <c r="L721" s="26"/>
      <c r="M721" s="26"/>
      <c r="N721" s="26"/>
      <c r="O721" s="26"/>
      <c r="P721" s="26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26"/>
      <c r="L722" s="26"/>
      <c r="M722" s="26"/>
      <c r="N722" s="26"/>
      <c r="O722" s="26"/>
      <c r="P722" s="26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26"/>
      <c r="L723" s="26"/>
      <c r="M723" s="26"/>
      <c r="N723" s="26"/>
      <c r="O723" s="26"/>
      <c r="P723" s="26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26"/>
      <c r="L724" s="26"/>
      <c r="M724" s="26"/>
      <c r="N724" s="26"/>
      <c r="O724" s="26"/>
      <c r="P724" s="26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26"/>
      <c r="L725" s="26"/>
      <c r="M725" s="26"/>
      <c r="N725" s="26"/>
      <c r="O725" s="26"/>
      <c r="P725" s="26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26"/>
      <c r="L726" s="26"/>
      <c r="M726" s="26"/>
      <c r="N726" s="26"/>
      <c r="O726" s="26"/>
      <c r="P726" s="26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26"/>
      <c r="L727" s="26"/>
      <c r="M727" s="26"/>
      <c r="N727" s="26"/>
      <c r="O727" s="26"/>
      <c r="P727" s="26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26"/>
      <c r="L728" s="26"/>
      <c r="M728" s="26"/>
      <c r="N728" s="26"/>
      <c r="O728" s="26"/>
      <c r="P728" s="26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26"/>
      <c r="L729" s="26"/>
      <c r="M729" s="26"/>
      <c r="N729" s="26"/>
      <c r="O729" s="26"/>
      <c r="P729" s="26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26"/>
      <c r="L730" s="26"/>
      <c r="M730" s="26"/>
      <c r="N730" s="26"/>
      <c r="O730" s="26"/>
      <c r="P730" s="26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26"/>
      <c r="L731" s="26"/>
      <c r="M731" s="26"/>
      <c r="N731" s="26"/>
      <c r="O731" s="26"/>
      <c r="P731" s="26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26"/>
      <c r="L732" s="26"/>
      <c r="M732" s="26"/>
      <c r="N732" s="26"/>
      <c r="O732" s="26"/>
      <c r="P732" s="26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26"/>
      <c r="L733" s="26"/>
      <c r="M733" s="26"/>
      <c r="N733" s="26"/>
      <c r="O733" s="26"/>
      <c r="P733" s="26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26"/>
      <c r="L734" s="26"/>
      <c r="M734" s="26"/>
      <c r="N734" s="26"/>
      <c r="O734" s="26"/>
      <c r="P734" s="26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26"/>
      <c r="L735" s="26"/>
      <c r="M735" s="26"/>
      <c r="N735" s="26"/>
      <c r="O735" s="26"/>
      <c r="P735" s="26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26"/>
      <c r="L736" s="26"/>
      <c r="M736" s="26"/>
      <c r="N736" s="26"/>
      <c r="O736" s="26"/>
      <c r="P736" s="26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26"/>
      <c r="L737" s="26"/>
      <c r="M737" s="26"/>
      <c r="N737" s="26"/>
      <c r="O737" s="26"/>
      <c r="P737" s="26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26"/>
      <c r="L738" s="26"/>
      <c r="M738" s="26"/>
      <c r="N738" s="26"/>
      <c r="O738" s="26"/>
      <c r="P738" s="26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26"/>
      <c r="L739" s="26"/>
      <c r="M739" s="26"/>
      <c r="N739" s="26"/>
      <c r="O739" s="26"/>
      <c r="P739" s="26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26"/>
      <c r="L740" s="26"/>
      <c r="M740" s="26"/>
      <c r="N740" s="26"/>
      <c r="O740" s="26"/>
      <c r="P740" s="26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26"/>
      <c r="L741" s="26"/>
      <c r="M741" s="26"/>
      <c r="N741" s="26"/>
      <c r="O741" s="26"/>
      <c r="P741" s="26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26"/>
      <c r="L742" s="26"/>
      <c r="M742" s="26"/>
      <c r="N742" s="26"/>
      <c r="O742" s="26"/>
      <c r="P742" s="26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26"/>
      <c r="L743" s="26"/>
      <c r="M743" s="26"/>
      <c r="N743" s="26"/>
      <c r="O743" s="26"/>
      <c r="P743" s="26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26"/>
      <c r="L744" s="26"/>
      <c r="M744" s="26"/>
      <c r="N744" s="26"/>
      <c r="O744" s="26"/>
      <c r="P744" s="26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26"/>
      <c r="L745" s="26"/>
      <c r="M745" s="26"/>
      <c r="N745" s="26"/>
      <c r="O745" s="26"/>
      <c r="P745" s="26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26"/>
      <c r="L746" s="26"/>
      <c r="M746" s="26"/>
      <c r="N746" s="26"/>
      <c r="O746" s="26"/>
      <c r="P746" s="26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26"/>
      <c r="L747" s="26"/>
      <c r="M747" s="26"/>
      <c r="N747" s="26"/>
      <c r="O747" s="26"/>
      <c r="P747" s="26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26"/>
      <c r="L748" s="26"/>
      <c r="M748" s="26"/>
      <c r="N748" s="26"/>
      <c r="O748" s="26"/>
      <c r="P748" s="26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26"/>
      <c r="L749" s="26"/>
      <c r="M749" s="26"/>
      <c r="N749" s="26"/>
      <c r="O749" s="26"/>
      <c r="P749" s="26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26"/>
      <c r="L750" s="26"/>
      <c r="M750" s="26"/>
      <c r="N750" s="26"/>
      <c r="O750" s="26"/>
      <c r="P750" s="26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26"/>
      <c r="L751" s="26"/>
      <c r="M751" s="26"/>
      <c r="N751" s="26"/>
      <c r="O751" s="26"/>
      <c r="P751" s="26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26"/>
      <c r="L752" s="26"/>
      <c r="M752" s="26"/>
      <c r="N752" s="26"/>
      <c r="O752" s="26"/>
      <c r="P752" s="26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26"/>
      <c r="L753" s="26"/>
      <c r="M753" s="26"/>
      <c r="N753" s="26"/>
      <c r="O753" s="26"/>
      <c r="P753" s="26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26"/>
      <c r="L754" s="26"/>
      <c r="M754" s="26"/>
      <c r="N754" s="26"/>
      <c r="O754" s="26"/>
      <c r="P754" s="26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26"/>
      <c r="L755" s="26"/>
      <c r="M755" s="26"/>
      <c r="N755" s="26"/>
      <c r="O755" s="26"/>
      <c r="P755" s="26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26"/>
      <c r="L756" s="26"/>
      <c r="M756" s="26"/>
      <c r="N756" s="26"/>
      <c r="O756" s="26"/>
      <c r="P756" s="26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26"/>
      <c r="L757" s="26"/>
      <c r="M757" s="26"/>
      <c r="N757" s="26"/>
      <c r="O757" s="26"/>
      <c r="P757" s="26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26"/>
      <c r="L758" s="26"/>
      <c r="M758" s="26"/>
      <c r="N758" s="26"/>
      <c r="O758" s="26"/>
      <c r="P758" s="26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26"/>
      <c r="L759" s="26"/>
      <c r="M759" s="26"/>
      <c r="N759" s="26"/>
      <c r="O759" s="26"/>
      <c r="P759" s="26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26"/>
      <c r="L760" s="26"/>
      <c r="M760" s="26"/>
      <c r="N760" s="26"/>
      <c r="O760" s="26"/>
      <c r="P760" s="26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26"/>
      <c r="L761" s="26"/>
      <c r="M761" s="26"/>
      <c r="N761" s="26"/>
      <c r="O761" s="26"/>
      <c r="P761" s="26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26"/>
      <c r="L762" s="26"/>
      <c r="M762" s="26"/>
      <c r="N762" s="26"/>
      <c r="O762" s="26"/>
      <c r="P762" s="26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26"/>
      <c r="L763" s="26"/>
      <c r="M763" s="26"/>
      <c r="N763" s="26"/>
      <c r="O763" s="26"/>
      <c r="P763" s="26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26"/>
      <c r="L764" s="26"/>
      <c r="M764" s="26"/>
      <c r="N764" s="26"/>
      <c r="O764" s="26"/>
      <c r="P764" s="26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26"/>
      <c r="L765" s="26"/>
      <c r="M765" s="26"/>
      <c r="N765" s="26"/>
      <c r="O765" s="26"/>
      <c r="P765" s="26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26"/>
      <c r="L766" s="26"/>
      <c r="M766" s="26"/>
      <c r="N766" s="26"/>
      <c r="O766" s="26"/>
      <c r="P766" s="26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26"/>
      <c r="L767" s="26"/>
      <c r="M767" s="26"/>
      <c r="N767" s="26"/>
      <c r="O767" s="26"/>
      <c r="P767" s="26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26"/>
      <c r="L768" s="26"/>
      <c r="M768" s="26"/>
      <c r="N768" s="26"/>
      <c r="O768" s="26"/>
      <c r="P768" s="26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26"/>
      <c r="L769" s="26"/>
      <c r="M769" s="26"/>
      <c r="N769" s="26"/>
      <c r="O769" s="26"/>
      <c r="P769" s="26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26"/>
      <c r="L770" s="26"/>
      <c r="M770" s="26"/>
      <c r="N770" s="26"/>
      <c r="O770" s="26"/>
      <c r="P770" s="26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26"/>
      <c r="L771" s="26"/>
      <c r="M771" s="26"/>
      <c r="N771" s="26"/>
      <c r="O771" s="26"/>
      <c r="P771" s="26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26"/>
      <c r="L772" s="26"/>
      <c r="M772" s="26"/>
      <c r="N772" s="26"/>
      <c r="O772" s="26"/>
      <c r="P772" s="26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26"/>
      <c r="L773" s="26"/>
      <c r="M773" s="26"/>
      <c r="N773" s="26"/>
      <c r="O773" s="26"/>
      <c r="P773" s="26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26"/>
      <c r="L774" s="26"/>
      <c r="M774" s="26"/>
      <c r="N774" s="26"/>
      <c r="O774" s="26"/>
      <c r="P774" s="26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26"/>
      <c r="L775" s="26"/>
      <c r="M775" s="26"/>
      <c r="N775" s="26"/>
      <c r="O775" s="26"/>
      <c r="P775" s="26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26"/>
      <c r="L776" s="26"/>
      <c r="M776" s="26"/>
      <c r="N776" s="26"/>
      <c r="O776" s="26"/>
      <c r="P776" s="26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26"/>
      <c r="L777" s="26"/>
      <c r="M777" s="26"/>
      <c r="N777" s="26"/>
      <c r="O777" s="26"/>
      <c r="P777" s="26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26"/>
      <c r="L778" s="26"/>
      <c r="M778" s="26"/>
      <c r="N778" s="26"/>
      <c r="O778" s="26"/>
      <c r="P778" s="26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26"/>
      <c r="L779" s="26"/>
      <c r="M779" s="26"/>
      <c r="N779" s="26"/>
      <c r="O779" s="26"/>
      <c r="P779" s="26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26"/>
      <c r="L780" s="26"/>
      <c r="M780" s="26"/>
      <c r="N780" s="26"/>
      <c r="O780" s="26"/>
      <c r="P780" s="26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26"/>
      <c r="L781" s="26"/>
      <c r="M781" s="26"/>
      <c r="N781" s="26"/>
      <c r="O781" s="26"/>
      <c r="P781" s="26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26"/>
      <c r="L782" s="26"/>
      <c r="M782" s="26"/>
      <c r="N782" s="26"/>
      <c r="O782" s="26"/>
      <c r="P782" s="26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26"/>
      <c r="L783" s="26"/>
      <c r="M783" s="26"/>
      <c r="N783" s="26"/>
      <c r="O783" s="26"/>
      <c r="P783" s="26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26"/>
      <c r="L784" s="26"/>
      <c r="M784" s="26"/>
      <c r="N784" s="26"/>
      <c r="O784" s="26"/>
      <c r="P784" s="26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26"/>
      <c r="L785" s="26"/>
      <c r="M785" s="26"/>
      <c r="N785" s="26"/>
      <c r="O785" s="26"/>
      <c r="P785" s="26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26"/>
      <c r="L786" s="26"/>
      <c r="M786" s="26"/>
      <c r="N786" s="26"/>
      <c r="O786" s="26"/>
      <c r="P786" s="26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26"/>
      <c r="L787" s="26"/>
      <c r="M787" s="26"/>
      <c r="N787" s="26"/>
      <c r="O787" s="26"/>
      <c r="P787" s="26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26"/>
      <c r="L788" s="26"/>
      <c r="M788" s="26"/>
      <c r="N788" s="26"/>
      <c r="O788" s="26"/>
      <c r="P788" s="26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26"/>
      <c r="L789" s="26"/>
      <c r="M789" s="26"/>
      <c r="N789" s="26"/>
      <c r="O789" s="26"/>
      <c r="P789" s="26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26"/>
      <c r="L790" s="26"/>
      <c r="M790" s="26"/>
      <c r="N790" s="26"/>
      <c r="O790" s="26"/>
      <c r="P790" s="26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26"/>
      <c r="L791" s="26"/>
      <c r="M791" s="26"/>
      <c r="N791" s="26"/>
      <c r="O791" s="26"/>
      <c r="P791" s="26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26"/>
      <c r="L792" s="26"/>
      <c r="M792" s="26"/>
      <c r="N792" s="26"/>
      <c r="O792" s="26"/>
      <c r="P792" s="26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26"/>
      <c r="L793" s="26"/>
      <c r="M793" s="26"/>
      <c r="N793" s="26"/>
      <c r="O793" s="26"/>
      <c r="P793" s="26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26"/>
      <c r="L794" s="26"/>
      <c r="M794" s="26"/>
      <c r="N794" s="26"/>
      <c r="O794" s="26"/>
      <c r="P794" s="26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26"/>
      <c r="L795" s="26"/>
      <c r="M795" s="26"/>
      <c r="N795" s="26"/>
      <c r="O795" s="26"/>
      <c r="P795" s="26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26"/>
      <c r="L796" s="26"/>
      <c r="M796" s="26"/>
      <c r="N796" s="26"/>
      <c r="O796" s="26"/>
      <c r="P796" s="26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26"/>
      <c r="L797" s="26"/>
      <c r="M797" s="26"/>
      <c r="N797" s="26"/>
      <c r="O797" s="26"/>
      <c r="P797" s="26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26"/>
      <c r="L798" s="26"/>
      <c r="M798" s="26"/>
      <c r="N798" s="26"/>
      <c r="O798" s="26"/>
      <c r="P798" s="26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26"/>
      <c r="L799" s="26"/>
      <c r="M799" s="26"/>
      <c r="N799" s="26"/>
      <c r="O799" s="26"/>
      <c r="P799" s="26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26"/>
      <c r="L800" s="26"/>
      <c r="M800" s="26"/>
      <c r="N800" s="26"/>
      <c r="O800" s="26"/>
      <c r="P800" s="26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26"/>
      <c r="L801" s="26"/>
      <c r="M801" s="26"/>
      <c r="N801" s="26"/>
      <c r="O801" s="26"/>
      <c r="P801" s="26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26"/>
      <c r="L802" s="26"/>
      <c r="M802" s="26"/>
      <c r="N802" s="26"/>
      <c r="O802" s="26"/>
      <c r="P802" s="26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26"/>
      <c r="L803" s="26"/>
      <c r="M803" s="26"/>
      <c r="N803" s="26"/>
      <c r="O803" s="26"/>
      <c r="P803" s="26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26"/>
      <c r="L804" s="26"/>
      <c r="M804" s="26"/>
      <c r="N804" s="26"/>
      <c r="O804" s="26"/>
      <c r="P804" s="26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26"/>
      <c r="L805" s="26"/>
      <c r="M805" s="26"/>
      <c r="N805" s="26"/>
      <c r="O805" s="26"/>
      <c r="P805" s="26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26"/>
      <c r="L806" s="26"/>
      <c r="M806" s="26"/>
      <c r="N806" s="26"/>
      <c r="O806" s="26"/>
      <c r="P806" s="26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26"/>
      <c r="L807" s="26"/>
      <c r="M807" s="26"/>
      <c r="N807" s="26"/>
      <c r="O807" s="26"/>
      <c r="P807" s="26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26"/>
      <c r="L808" s="26"/>
      <c r="M808" s="26"/>
      <c r="N808" s="26"/>
      <c r="O808" s="26"/>
      <c r="P808" s="26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26"/>
      <c r="L809" s="26"/>
      <c r="M809" s="26"/>
      <c r="N809" s="26"/>
      <c r="O809" s="26"/>
      <c r="P809" s="26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26"/>
      <c r="L810" s="26"/>
      <c r="M810" s="26"/>
      <c r="N810" s="26"/>
      <c r="O810" s="26"/>
      <c r="P810" s="26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26"/>
      <c r="L811" s="26"/>
      <c r="M811" s="26"/>
      <c r="N811" s="26"/>
      <c r="O811" s="26"/>
      <c r="P811" s="26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26"/>
      <c r="L812" s="26"/>
      <c r="M812" s="26"/>
      <c r="N812" s="26"/>
      <c r="O812" s="26"/>
      <c r="P812" s="26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26"/>
      <c r="L813" s="26"/>
      <c r="M813" s="26"/>
      <c r="N813" s="26"/>
      <c r="O813" s="26"/>
      <c r="P813" s="26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26"/>
      <c r="L814" s="26"/>
      <c r="M814" s="26"/>
      <c r="N814" s="26"/>
      <c r="O814" s="26"/>
      <c r="P814" s="26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26"/>
      <c r="L815" s="26"/>
      <c r="M815" s="26"/>
      <c r="N815" s="26"/>
      <c r="O815" s="26"/>
      <c r="P815" s="26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26"/>
      <c r="L816" s="26"/>
      <c r="M816" s="26"/>
      <c r="N816" s="26"/>
      <c r="O816" s="26"/>
      <c r="P816" s="26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26"/>
      <c r="L817" s="26"/>
      <c r="M817" s="26"/>
      <c r="N817" s="26"/>
      <c r="O817" s="26"/>
      <c r="P817" s="26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26"/>
      <c r="L818" s="26"/>
      <c r="M818" s="26"/>
      <c r="N818" s="26"/>
      <c r="O818" s="26"/>
      <c r="P818" s="26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26"/>
      <c r="L819" s="26"/>
      <c r="M819" s="26"/>
      <c r="N819" s="26"/>
      <c r="O819" s="26"/>
      <c r="P819" s="26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26"/>
      <c r="L820" s="26"/>
      <c r="M820" s="26"/>
      <c r="N820" s="26"/>
      <c r="O820" s="26"/>
      <c r="P820" s="26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26"/>
      <c r="L821" s="26"/>
      <c r="M821" s="26"/>
      <c r="N821" s="26"/>
      <c r="O821" s="26"/>
      <c r="P821" s="26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26"/>
      <c r="L822" s="26"/>
      <c r="M822" s="26"/>
      <c r="N822" s="26"/>
      <c r="O822" s="26"/>
      <c r="P822" s="26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26"/>
      <c r="L823" s="26"/>
      <c r="M823" s="26"/>
      <c r="N823" s="26"/>
      <c r="O823" s="26"/>
      <c r="P823" s="26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26"/>
      <c r="L824" s="26"/>
      <c r="M824" s="26"/>
      <c r="N824" s="26"/>
      <c r="O824" s="26"/>
      <c r="P824" s="26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26"/>
      <c r="L825" s="26"/>
      <c r="M825" s="26"/>
      <c r="N825" s="26"/>
      <c r="O825" s="26"/>
      <c r="P825" s="26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26"/>
      <c r="L826" s="26"/>
      <c r="M826" s="26"/>
      <c r="N826" s="26"/>
      <c r="O826" s="26"/>
      <c r="P826" s="26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26"/>
      <c r="L827" s="26"/>
      <c r="M827" s="26"/>
      <c r="N827" s="26"/>
      <c r="O827" s="26"/>
      <c r="P827" s="26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26"/>
      <c r="L828" s="26"/>
      <c r="M828" s="26"/>
      <c r="N828" s="26"/>
      <c r="O828" s="26"/>
      <c r="P828" s="26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26"/>
      <c r="L829" s="26"/>
      <c r="M829" s="26"/>
      <c r="N829" s="26"/>
      <c r="O829" s="26"/>
      <c r="P829" s="26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26"/>
      <c r="L830" s="26"/>
      <c r="M830" s="26"/>
      <c r="N830" s="26"/>
      <c r="O830" s="26"/>
      <c r="P830" s="26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26"/>
      <c r="L831" s="26"/>
      <c r="M831" s="26"/>
      <c r="N831" s="26"/>
      <c r="O831" s="26"/>
      <c r="P831" s="26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26"/>
      <c r="L832" s="26"/>
      <c r="M832" s="26"/>
      <c r="N832" s="26"/>
      <c r="O832" s="26"/>
      <c r="P832" s="26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26"/>
      <c r="L833" s="26"/>
      <c r="M833" s="26"/>
      <c r="N833" s="26"/>
      <c r="O833" s="26"/>
      <c r="P833" s="26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26"/>
      <c r="L834" s="26"/>
      <c r="M834" s="26"/>
      <c r="N834" s="26"/>
      <c r="O834" s="26"/>
      <c r="P834" s="26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26"/>
      <c r="L835" s="26"/>
      <c r="M835" s="26"/>
      <c r="N835" s="26"/>
      <c r="O835" s="26"/>
      <c r="P835" s="26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26"/>
      <c r="L836" s="26"/>
      <c r="M836" s="26"/>
      <c r="N836" s="26"/>
      <c r="O836" s="26"/>
      <c r="P836" s="26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26"/>
      <c r="L837" s="26"/>
      <c r="M837" s="26"/>
      <c r="N837" s="26"/>
      <c r="O837" s="26"/>
      <c r="P837" s="26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26"/>
      <c r="L838" s="26"/>
      <c r="M838" s="26"/>
      <c r="N838" s="26"/>
      <c r="O838" s="26"/>
      <c r="P838" s="26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26"/>
      <c r="L839" s="26"/>
      <c r="M839" s="26"/>
      <c r="N839" s="26"/>
      <c r="O839" s="26"/>
      <c r="P839" s="26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26"/>
      <c r="L840" s="26"/>
      <c r="M840" s="26"/>
      <c r="N840" s="26"/>
      <c r="O840" s="26"/>
      <c r="P840" s="26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26"/>
      <c r="L841" s="26"/>
      <c r="M841" s="26"/>
      <c r="N841" s="26"/>
      <c r="O841" s="26"/>
      <c r="P841" s="26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26"/>
      <c r="L842" s="26"/>
      <c r="M842" s="26"/>
      <c r="N842" s="26"/>
      <c r="O842" s="26"/>
      <c r="P842" s="26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26"/>
      <c r="L843" s="26"/>
      <c r="M843" s="26"/>
      <c r="N843" s="26"/>
      <c r="O843" s="26"/>
      <c r="P843" s="26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26"/>
      <c r="L844" s="26"/>
      <c r="M844" s="26"/>
      <c r="N844" s="26"/>
      <c r="O844" s="26"/>
      <c r="P844" s="26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26"/>
      <c r="L845" s="26"/>
      <c r="M845" s="26"/>
      <c r="N845" s="26"/>
      <c r="O845" s="26"/>
      <c r="P845" s="26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26"/>
      <c r="L846" s="26"/>
      <c r="M846" s="26"/>
      <c r="N846" s="26"/>
      <c r="O846" s="26"/>
      <c r="P846" s="26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26"/>
      <c r="L847" s="26"/>
      <c r="M847" s="26"/>
      <c r="N847" s="26"/>
      <c r="O847" s="26"/>
      <c r="P847" s="26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26"/>
      <c r="L848" s="26"/>
      <c r="M848" s="26"/>
      <c r="N848" s="26"/>
      <c r="O848" s="26"/>
      <c r="P848" s="26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26"/>
      <c r="L849" s="26"/>
      <c r="M849" s="26"/>
      <c r="N849" s="26"/>
      <c r="O849" s="26"/>
      <c r="P849" s="26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26"/>
      <c r="L850" s="26"/>
      <c r="M850" s="26"/>
      <c r="N850" s="26"/>
      <c r="O850" s="26"/>
      <c r="P850" s="26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26"/>
      <c r="L851" s="26"/>
      <c r="M851" s="26"/>
      <c r="N851" s="26"/>
      <c r="O851" s="26"/>
      <c r="P851" s="26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26"/>
      <c r="L852" s="26"/>
      <c r="M852" s="26"/>
      <c r="N852" s="26"/>
      <c r="O852" s="26"/>
      <c r="P852" s="26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26"/>
      <c r="L853" s="26"/>
      <c r="M853" s="26"/>
      <c r="N853" s="26"/>
      <c r="O853" s="26"/>
      <c r="P853" s="26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26"/>
      <c r="L854" s="26"/>
      <c r="M854" s="26"/>
      <c r="N854" s="26"/>
      <c r="O854" s="26"/>
      <c r="P854" s="26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26"/>
      <c r="L855" s="26"/>
      <c r="M855" s="26"/>
      <c r="N855" s="26"/>
      <c r="O855" s="26"/>
      <c r="P855" s="26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26"/>
      <c r="L856" s="26"/>
      <c r="M856" s="26"/>
      <c r="N856" s="26"/>
      <c r="O856" s="26"/>
      <c r="P856" s="26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26"/>
      <c r="L857" s="26"/>
      <c r="M857" s="26"/>
      <c r="N857" s="26"/>
      <c r="O857" s="26"/>
      <c r="P857" s="26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26"/>
      <c r="L858" s="26"/>
      <c r="M858" s="26"/>
      <c r="N858" s="26"/>
      <c r="O858" s="26"/>
      <c r="P858" s="26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26"/>
      <c r="L859" s="26"/>
      <c r="M859" s="26"/>
      <c r="N859" s="26"/>
      <c r="O859" s="26"/>
      <c r="P859" s="26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26"/>
      <c r="L860" s="26"/>
      <c r="M860" s="26"/>
      <c r="N860" s="26"/>
      <c r="O860" s="26"/>
      <c r="P860" s="26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26"/>
      <c r="L861" s="26"/>
      <c r="M861" s="26"/>
      <c r="N861" s="26"/>
      <c r="O861" s="26"/>
      <c r="P861" s="26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26"/>
      <c r="L862" s="26"/>
      <c r="M862" s="26"/>
      <c r="N862" s="26"/>
      <c r="O862" s="26"/>
      <c r="P862" s="26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26"/>
      <c r="L863" s="26"/>
      <c r="M863" s="26"/>
      <c r="N863" s="26"/>
      <c r="O863" s="26"/>
      <c r="P863" s="26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26"/>
      <c r="L864" s="26"/>
      <c r="M864" s="26"/>
      <c r="N864" s="26"/>
      <c r="O864" s="26"/>
      <c r="P864" s="26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26"/>
      <c r="L865" s="26"/>
      <c r="M865" s="26"/>
      <c r="N865" s="26"/>
      <c r="O865" s="26"/>
      <c r="P865" s="26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26"/>
      <c r="L866" s="26"/>
      <c r="M866" s="26"/>
      <c r="N866" s="26"/>
      <c r="O866" s="26"/>
      <c r="P866" s="26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26"/>
      <c r="L867" s="26"/>
      <c r="M867" s="26"/>
      <c r="N867" s="26"/>
      <c r="O867" s="26"/>
      <c r="P867" s="26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26"/>
      <c r="L868" s="26"/>
      <c r="M868" s="26"/>
      <c r="N868" s="26"/>
      <c r="O868" s="26"/>
      <c r="P868" s="26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26"/>
      <c r="L869" s="26"/>
      <c r="M869" s="26"/>
      <c r="N869" s="26"/>
      <c r="O869" s="26"/>
      <c r="P869" s="26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26"/>
      <c r="L870" s="26"/>
      <c r="M870" s="26"/>
      <c r="N870" s="26"/>
      <c r="O870" s="26"/>
      <c r="P870" s="26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26"/>
      <c r="L871" s="26"/>
      <c r="M871" s="26"/>
      <c r="N871" s="26"/>
      <c r="O871" s="26"/>
      <c r="P871" s="26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26"/>
      <c r="L872" s="26"/>
      <c r="M872" s="26"/>
      <c r="N872" s="26"/>
      <c r="O872" s="26"/>
      <c r="P872" s="26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26"/>
      <c r="L873" s="26"/>
      <c r="M873" s="26"/>
      <c r="N873" s="26"/>
      <c r="O873" s="26"/>
      <c r="P873" s="26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26"/>
      <c r="L874" s="26"/>
      <c r="M874" s="26"/>
      <c r="N874" s="26"/>
      <c r="O874" s="26"/>
      <c r="P874" s="26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26"/>
      <c r="L875" s="26"/>
      <c r="M875" s="26"/>
      <c r="N875" s="26"/>
      <c r="O875" s="26"/>
      <c r="P875" s="26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26"/>
      <c r="L876" s="26"/>
      <c r="M876" s="26"/>
      <c r="N876" s="26"/>
      <c r="O876" s="26"/>
      <c r="P876" s="26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26"/>
      <c r="L877" s="26"/>
      <c r="M877" s="26"/>
      <c r="N877" s="26"/>
      <c r="O877" s="26"/>
      <c r="P877" s="26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26"/>
      <c r="L878" s="26"/>
      <c r="M878" s="26"/>
      <c r="N878" s="26"/>
      <c r="O878" s="26"/>
      <c r="P878" s="26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26"/>
      <c r="L879" s="26"/>
      <c r="M879" s="26"/>
      <c r="N879" s="26"/>
      <c r="O879" s="26"/>
      <c r="P879" s="26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26"/>
      <c r="L880" s="26"/>
      <c r="M880" s="26"/>
      <c r="N880" s="26"/>
      <c r="O880" s="26"/>
      <c r="P880" s="26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26"/>
      <c r="L881" s="26"/>
      <c r="M881" s="26"/>
      <c r="N881" s="26"/>
      <c r="O881" s="26"/>
      <c r="P881" s="26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26"/>
      <c r="L882" s="26"/>
      <c r="M882" s="26"/>
      <c r="N882" s="26"/>
      <c r="O882" s="26"/>
      <c r="P882" s="26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26"/>
      <c r="L883" s="26"/>
      <c r="M883" s="26"/>
      <c r="N883" s="26"/>
      <c r="O883" s="26"/>
      <c r="P883" s="26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26"/>
      <c r="L884" s="26"/>
      <c r="M884" s="26"/>
      <c r="N884" s="26"/>
      <c r="O884" s="26"/>
      <c r="P884" s="26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26"/>
      <c r="L885" s="26"/>
      <c r="M885" s="26"/>
      <c r="N885" s="26"/>
      <c r="O885" s="26"/>
      <c r="P885" s="26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26"/>
      <c r="L886" s="26"/>
      <c r="M886" s="26"/>
      <c r="N886" s="26"/>
      <c r="O886" s="26"/>
      <c r="P886" s="26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26"/>
      <c r="L887" s="26"/>
      <c r="M887" s="26"/>
      <c r="N887" s="26"/>
      <c r="O887" s="26"/>
      <c r="P887" s="26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26"/>
      <c r="L888" s="26"/>
      <c r="M888" s="26"/>
      <c r="N888" s="26"/>
      <c r="O888" s="26"/>
      <c r="P888" s="26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26"/>
      <c r="L889" s="26"/>
      <c r="M889" s="26"/>
      <c r="N889" s="26"/>
      <c r="O889" s="26"/>
      <c r="P889" s="26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26"/>
      <c r="L890" s="26"/>
      <c r="M890" s="26"/>
      <c r="N890" s="26"/>
      <c r="O890" s="26"/>
      <c r="P890" s="26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26"/>
      <c r="L891" s="26"/>
      <c r="M891" s="26"/>
      <c r="N891" s="26"/>
      <c r="O891" s="26"/>
      <c r="P891" s="26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26"/>
      <c r="L892" s="26"/>
      <c r="M892" s="26"/>
      <c r="N892" s="26"/>
      <c r="O892" s="26"/>
      <c r="P892" s="26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26"/>
      <c r="L893" s="26"/>
      <c r="M893" s="26"/>
      <c r="N893" s="26"/>
      <c r="O893" s="26"/>
      <c r="P893" s="26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26"/>
      <c r="L894" s="26"/>
      <c r="M894" s="26"/>
      <c r="N894" s="26"/>
      <c r="O894" s="26"/>
      <c r="P894" s="26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26"/>
      <c r="L895" s="26"/>
      <c r="M895" s="26"/>
      <c r="N895" s="26"/>
      <c r="O895" s="26"/>
      <c r="P895" s="26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26"/>
      <c r="L896" s="26"/>
      <c r="M896" s="26"/>
      <c r="N896" s="26"/>
      <c r="O896" s="26"/>
      <c r="P896" s="26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26"/>
      <c r="L897" s="26"/>
      <c r="M897" s="26"/>
      <c r="N897" s="26"/>
      <c r="O897" s="26"/>
      <c r="P897" s="26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26"/>
      <c r="L898" s="26"/>
      <c r="M898" s="26"/>
      <c r="N898" s="26"/>
      <c r="O898" s="26"/>
      <c r="P898" s="26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26"/>
      <c r="L899" s="26"/>
      <c r="M899" s="26"/>
      <c r="N899" s="26"/>
      <c r="O899" s="26"/>
      <c r="P899" s="26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26"/>
      <c r="L900" s="26"/>
      <c r="M900" s="26"/>
      <c r="N900" s="26"/>
      <c r="O900" s="26"/>
      <c r="P900" s="26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26"/>
      <c r="L901" s="26"/>
      <c r="M901" s="26"/>
      <c r="N901" s="26"/>
      <c r="O901" s="26"/>
      <c r="P901" s="26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26"/>
      <c r="L902" s="26"/>
      <c r="M902" s="26"/>
      <c r="N902" s="26"/>
      <c r="O902" s="26"/>
      <c r="P902" s="26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26"/>
      <c r="L903" s="26"/>
      <c r="M903" s="26"/>
      <c r="N903" s="26"/>
      <c r="O903" s="26"/>
      <c r="P903" s="26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26"/>
      <c r="L904" s="26"/>
      <c r="M904" s="26"/>
      <c r="N904" s="26"/>
      <c r="O904" s="26"/>
      <c r="P904" s="26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26"/>
      <c r="L905" s="26"/>
      <c r="M905" s="26"/>
      <c r="N905" s="26"/>
      <c r="O905" s="26"/>
      <c r="P905" s="26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26"/>
      <c r="L906" s="26"/>
      <c r="M906" s="26"/>
      <c r="N906" s="26"/>
      <c r="O906" s="26"/>
      <c r="P906" s="26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26"/>
      <c r="L907" s="26"/>
      <c r="M907" s="26"/>
      <c r="N907" s="26"/>
      <c r="O907" s="26"/>
      <c r="P907" s="26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26"/>
      <c r="L908" s="26"/>
      <c r="M908" s="26"/>
      <c r="N908" s="26"/>
      <c r="O908" s="26"/>
      <c r="P908" s="26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26"/>
      <c r="L909" s="26"/>
      <c r="M909" s="26"/>
      <c r="N909" s="26"/>
      <c r="O909" s="26"/>
      <c r="P909" s="26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26"/>
      <c r="L910" s="26"/>
      <c r="M910" s="26"/>
      <c r="N910" s="26"/>
      <c r="O910" s="26"/>
      <c r="P910" s="26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26"/>
      <c r="L911" s="26"/>
      <c r="M911" s="26"/>
      <c r="N911" s="26"/>
      <c r="O911" s="26"/>
      <c r="P911" s="26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26"/>
      <c r="L912" s="26"/>
      <c r="M912" s="26"/>
      <c r="N912" s="26"/>
      <c r="O912" s="26"/>
      <c r="P912" s="26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26"/>
      <c r="L913" s="26"/>
      <c r="M913" s="26"/>
      <c r="N913" s="26"/>
      <c r="O913" s="26"/>
      <c r="P913" s="26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26"/>
      <c r="L914" s="26"/>
      <c r="M914" s="26"/>
      <c r="N914" s="26"/>
      <c r="O914" s="26"/>
      <c r="P914" s="26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26"/>
      <c r="L915" s="26"/>
      <c r="M915" s="26"/>
      <c r="N915" s="26"/>
      <c r="O915" s="26"/>
      <c r="P915" s="26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26"/>
      <c r="L916" s="26"/>
      <c r="M916" s="26"/>
      <c r="N916" s="26"/>
      <c r="O916" s="26"/>
      <c r="P916" s="26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26"/>
      <c r="L917" s="26"/>
      <c r="M917" s="26"/>
      <c r="N917" s="26"/>
      <c r="O917" s="26"/>
      <c r="P917" s="26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26"/>
      <c r="L918" s="26"/>
      <c r="M918" s="26"/>
      <c r="N918" s="26"/>
      <c r="O918" s="26"/>
      <c r="P918" s="26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26"/>
      <c r="L919" s="26"/>
      <c r="M919" s="26"/>
      <c r="N919" s="26"/>
      <c r="O919" s="26"/>
      <c r="P919" s="26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26"/>
      <c r="L920" s="26"/>
      <c r="M920" s="26"/>
      <c r="N920" s="26"/>
      <c r="O920" s="26"/>
      <c r="P920" s="26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26"/>
      <c r="L921" s="26"/>
      <c r="M921" s="26"/>
      <c r="N921" s="26"/>
      <c r="O921" s="26"/>
      <c r="P921" s="26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26"/>
      <c r="L922" s="26"/>
      <c r="M922" s="26"/>
      <c r="N922" s="26"/>
      <c r="O922" s="26"/>
      <c r="P922" s="26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26"/>
      <c r="L923" s="26"/>
      <c r="M923" s="26"/>
      <c r="N923" s="26"/>
      <c r="O923" s="26"/>
      <c r="P923" s="26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26"/>
      <c r="L924" s="26"/>
      <c r="M924" s="26"/>
      <c r="N924" s="26"/>
      <c r="O924" s="26"/>
      <c r="P924" s="26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26"/>
      <c r="L925" s="26"/>
      <c r="M925" s="26"/>
      <c r="N925" s="26"/>
      <c r="O925" s="26"/>
      <c r="P925" s="26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26"/>
      <c r="L926" s="26"/>
      <c r="M926" s="26"/>
      <c r="N926" s="26"/>
      <c r="O926" s="26"/>
      <c r="P926" s="26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26"/>
      <c r="L927" s="26"/>
      <c r="M927" s="26"/>
      <c r="N927" s="26"/>
      <c r="O927" s="26"/>
      <c r="P927" s="26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26"/>
      <c r="L928" s="26"/>
      <c r="M928" s="26"/>
      <c r="N928" s="26"/>
      <c r="O928" s="26"/>
      <c r="P928" s="26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26"/>
      <c r="L929" s="26"/>
      <c r="M929" s="26"/>
      <c r="N929" s="26"/>
      <c r="O929" s="26"/>
      <c r="P929" s="26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26"/>
      <c r="L930" s="26"/>
      <c r="M930" s="26"/>
      <c r="N930" s="26"/>
      <c r="O930" s="26"/>
      <c r="P930" s="26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26"/>
      <c r="L931" s="26"/>
      <c r="M931" s="26"/>
      <c r="N931" s="26"/>
      <c r="O931" s="26"/>
      <c r="P931" s="26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26"/>
      <c r="L932" s="26"/>
      <c r="M932" s="26"/>
      <c r="N932" s="26"/>
      <c r="O932" s="26"/>
      <c r="P932" s="26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26"/>
      <c r="L933" s="26"/>
      <c r="M933" s="26"/>
      <c r="N933" s="26"/>
      <c r="O933" s="26"/>
      <c r="P933" s="26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26"/>
      <c r="L934" s="26"/>
      <c r="M934" s="26"/>
      <c r="N934" s="26"/>
      <c r="O934" s="26"/>
      <c r="P934" s="26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26"/>
      <c r="L935" s="26"/>
      <c r="M935" s="26"/>
      <c r="N935" s="26"/>
      <c r="O935" s="26"/>
      <c r="P935" s="26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26"/>
      <c r="L936" s="26"/>
      <c r="M936" s="26"/>
      <c r="N936" s="26"/>
      <c r="O936" s="26"/>
      <c r="P936" s="26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26"/>
      <c r="L937" s="26"/>
      <c r="M937" s="26"/>
      <c r="N937" s="26"/>
      <c r="O937" s="26"/>
      <c r="P937" s="26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26"/>
      <c r="L938" s="26"/>
      <c r="M938" s="26"/>
      <c r="N938" s="26"/>
      <c r="O938" s="26"/>
      <c r="P938" s="26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26"/>
      <c r="L939" s="26"/>
      <c r="M939" s="26"/>
      <c r="N939" s="26"/>
      <c r="O939" s="26"/>
      <c r="P939" s="26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26"/>
      <c r="L940" s="26"/>
      <c r="M940" s="26"/>
      <c r="N940" s="26"/>
      <c r="O940" s="26"/>
      <c r="P940" s="26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26"/>
      <c r="L941" s="26"/>
      <c r="M941" s="26"/>
      <c r="N941" s="26"/>
      <c r="O941" s="26"/>
      <c r="P941" s="26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26"/>
      <c r="L942" s="26"/>
      <c r="M942" s="26"/>
      <c r="N942" s="26"/>
      <c r="O942" s="26"/>
      <c r="P942" s="26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26"/>
      <c r="L943" s="26"/>
      <c r="M943" s="26"/>
      <c r="N943" s="26"/>
      <c r="O943" s="26"/>
      <c r="P943" s="26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26"/>
      <c r="L944" s="26"/>
      <c r="M944" s="26"/>
      <c r="N944" s="26"/>
      <c r="O944" s="26"/>
      <c r="P944" s="26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26"/>
      <c r="L945" s="26"/>
      <c r="M945" s="26"/>
      <c r="N945" s="26"/>
      <c r="O945" s="26"/>
      <c r="P945" s="26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26"/>
      <c r="L946" s="26"/>
      <c r="M946" s="26"/>
      <c r="N946" s="26"/>
      <c r="O946" s="26"/>
      <c r="P946" s="26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26"/>
      <c r="L947" s="26"/>
      <c r="M947" s="26"/>
      <c r="N947" s="26"/>
      <c r="O947" s="26"/>
      <c r="P947" s="26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26"/>
      <c r="L948" s="26"/>
      <c r="M948" s="26"/>
      <c r="N948" s="26"/>
      <c r="O948" s="26"/>
      <c r="P948" s="26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26"/>
      <c r="L949" s="26"/>
      <c r="M949" s="26"/>
      <c r="N949" s="26"/>
      <c r="O949" s="26"/>
      <c r="P949" s="26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26"/>
      <c r="L950" s="26"/>
      <c r="M950" s="26"/>
      <c r="N950" s="26"/>
      <c r="O950" s="26"/>
      <c r="P950" s="26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26"/>
      <c r="L951" s="26"/>
      <c r="M951" s="26"/>
      <c r="N951" s="26"/>
      <c r="O951" s="26"/>
      <c r="P951" s="26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26"/>
      <c r="L952" s="26"/>
      <c r="M952" s="26"/>
      <c r="N952" s="26"/>
      <c r="O952" s="26"/>
      <c r="P952" s="26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26"/>
      <c r="L953" s="26"/>
      <c r="M953" s="26"/>
      <c r="N953" s="26"/>
      <c r="O953" s="26"/>
      <c r="P953" s="26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26"/>
      <c r="L954" s="26"/>
      <c r="M954" s="26"/>
      <c r="N954" s="26"/>
      <c r="O954" s="26"/>
      <c r="P954" s="26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26"/>
      <c r="L955" s="26"/>
      <c r="M955" s="26"/>
      <c r="N955" s="26"/>
      <c r="O955" s="26"/>
      <c r="P955" s="26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26"/>
      <c r="L956" s="26"/>
      <c r="M956" s="26"/>
      <c r="N956" s="26"/>
      <c r="O956" s="26"/>
      <c r="P956" s="26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26"/>
      <c r="L957" s="26"/>
      <c r="M957" s="26"/>
      <c r="N957" s="26"/>
      <c r="O957" s="26"/>
      <c r="P957" s="26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26"/>
      <c r="L958" s="26"/>
      <c r="M958" s="26"/>
      <c r="N958" s="26"/>
      <c r="O958" s="26"/>
      <c r="P958" s="26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26"/>
      <c r="L959" s="26"/>
      <c r="M959" s="26"/>
      <c r="N959" s="26"/>
      <c r="O959" s="26"/>
      <c r="P959" s="26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26"/>
      <c r="L960" s="26"/>
      <c r="M960" s="26"/>
      <c r="N960" s="26"/>
      <c r="O960" s="26"/>
      <c r="P960" s="26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26"/>
      <c r="L961" s="26"/>
      <c r="M961" s="26"/>
      <c r="N961" s="26"/>
      <c r="O961" s="26"/>
      <c r="P961" s="26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26"/>
      <c r="L962" s="26"/>
      <c r="M962" s="26"/>
      <c r="N962" s="26"/>
      <c r="O962" s="26"/>
      <c r="P962" s="26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26"/>
      <c r="L963" s="26"/>
      <c r="M963" s="26"/>
      <c r="N963" s="26"/>
      <c r="O963" s="26"/>
      <c r="P963" s="26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26"/>
      <c r="L964" s="26"/>
      <c r="M964" s="26"/>
      <c r="N964" s="26"/>
      <c r="O964" s="26"/>
      <c r="P964" s="26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26"/>
      <c r="L965" s="26"/>
      <c r="M965" s="26"/>
      <c r="N965" s="26"/>
      <c r="O965" s="26"/>
      <c r="P965" s="26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26"/>
      <c r="L966" s="26"/>
      <c r="M966" s="26"/>
      <c r="N966" s="26"/>
      <c r="O966" s="26"/>
      <c r="P966" s="26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26"/>
      <c r="L967" s="26"/>
      <c r="M967" s="26"/>
      <c r="N967" s="26"/>
      <c r="O967" s="26"/>
      <c r="P967" s="26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26"/>
      <c r="L968" s="26"/>
      <c r="M968" s="26"/>
      <c r="N968" s="26"/>
      <c r="O968" s="26"/>
      <c r="P968" s="26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26"/>
      <c r="L969" s="26"/>
      <c r="M969" s="26"/>
      <c r="N969" s="26"/>
      <c r="O969" s="26"/>
      <c r="P969" s="26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26"/>
      <c r="L970" s="26"/>
      <c r="M970" s="26"/>
      <c r="N970" s="26"/>
      <c r="O970" s="26"/>
      <c r="P970" s="26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26"/>
      <c r="L971" s="26"/>
      <c r="M971" s="26"/>
      <c r="N971" s="26"/>
      <c r="O971" s="26"/>
      <c r="P971" s="26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26"/>
      <c r="L972" s="26"/>
      <c r="M972" s="26"/>
      <c r="N972" s="26"/>
      <c r="O972" s="26"/>
      <c r="P972" s="26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26"/>
      <c r="L973" s="26"/>
      <c r="M973" s="26"/>
      <c r="N973" s="26"/>
      <c r="O973" s="26"/>
      <c r="P973" s="26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26"/>
      <c r="L974" s="26"/>
      <c r="M974" s="26"/>
      <c r="N974" s="26"/>
      <c r="O974" s="26"/>
      <c r="P974" s="26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26"/>
      <c r="L975" s="26"/>
      <c r="M975" s="26"/>
      <c r="N975" s="26"/>
      <c r="O975" s="26"/>
      <c r="P975" s="26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26"/>
      <c r="L976" s="26"/>
      <c r="M976" s="26"/>
      <c r="N976" s="26"/>
      <c r="O976" s="26"/>
      <c r="P976" s="26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26"/>
      <c r="L977" s="26"/>
      <c r="M977" s="26"/>
      <c r="N977" s="26"/>
      <c r="O977" s="26"/>
      <c r="P977" s="26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26"/>
      <c r="L978" s="26"/>
      <c r="M978" s="26"/>
      <c r="N978" s="26"/>
      <c r="O978" s="26"/>
      <c r="P978" s="26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26"/>
      <c r="L979" s="26"/>
      <c r="M979" s="26"/>
      <c r="N979" s="26"/>
      <c r="O979" s="26"/>
      <c r="P979" s="26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26"/>
      <c r="L980" s="26"/>
      <c r="M980" s="26"/>
      <c r="N980" s="26"/>
      <c r="O980" s="26"/>
      <c r="P980" s="26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26"/>
      <c r="L981" s="26"/>
      <c r="M981" s="26"/>
      <c r="N981" s="26"/>
      <c r="O981" s="26"/>
      <c r="P981" s="26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26"/>
      <c r="L982" s="26"/>
      <c r="M982" s="26"/>
      <c r="N982" s="26"/>
      <c r="O982" s="26"/>
      <c r="P982" s="26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26"/>
      <c r="L983" s="26"/>
      <c r="M983" s="26"/>
      <c r="N983" s="26"/>
      <c r="O983" s="26"/>
      <c r="P983" s="26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26"/>
      <c r="L984" s="26"/>
      <c r="M984" s="26"/>
      <c r="N984" s="26"/>
      <c r="O984" s="26"/>
      <c r="P984" s="26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26"/>
      <c r="L985" s="26"/>
      <c r="M985" s="26"/>
      <c r="N985" s="26"/>
      <c r="O985" s="26"/>
      <c r="P985" s="26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26"/>
      <c r="L986" s="26"/>
      <c r="M986" s="26"/>
      <c r="N986" s="26"/>
      <c r="O986" s="26"/>
      <c r="P986" s="26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26"/>
      <c r="L987" s="26"/>
      <c r="M987" s="26"/>
      <c r="N987" s="26"/>
      <c r="O987" s="26"/>
      <c r="P987" s="26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26"/>
      <c r="L988" s="26"/>
      <c r="M988" s="26"/>
      <c r="N988" s="26"/>
      <c r="O988" s="26"/>
      <c r="P988" s="26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26"/>
      <c r="L989" s="26"/>
      <c r="M989" s="26"/>
      <c r="N989" s="26"/>
      <c r="O989" s="26"/>
      <c r="P989" s="26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26"/>
      <c r="L990" s="26"/>
      <c r="M990" s="26"/>
      <c r="N990" s="26"/>
      <c r="O990" s="26"/>
      <c r="P990" s="26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26"/>
      <c r="L991" s="26"/>
      <c r="M991" s="26"/>
      <c r="N991" s="26"/>
      <c r="O991" s="26"/>
      <c r="P991" s="26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26"/>
      <c r="L992" s="26"/>
      <c r="M992" s="26"/>
      <c r="N992" s="26"/>
      <c r="O992" s="26"/>
      <c r="P992" s="26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26"/>
      <c r="L993" s="26"/>
      <c r="M993" s="26"/>
      <c r="N993" s="26"/>
      <c r="O993" s="26"/>
      <c r="P993" s="26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26"/>
      <c r="L994" s="26"/>
      <c r="M994" s="26"/>
      <c r="N994" s="26"/>
      <c r="O994" s="26"/>
      <c r="P994" s="26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26"/>
      <c r="L995" s="26"/>
      <c r="M995" s="26"/>
      <c r="N995" s="26"/>
      <c r="O995" s="26"/>
      <c r="P995" s="26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26"/>
      <c r="L996" s="26"/>
      <c r="M996" s="26"/>
      <c r="N996" s="26"/>
      <c r="O996" s="26"/>
      <c r="P996" s="26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26"/>
      <c r="L997" s="26"/>
      <c r="M997" s="26"/>
      <c r="N997" s="26"/>
      <c r="O997" s="26"/>
      <c r="P997" s="26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26"/>
      <c r="L998" s="26"/>
      <c r="M998" s="26"/>
      <c r="N998" s="26"/>
      <c r="O998" s="26"/>
      <c r="P998" s="26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26"/>
      <c r="L999" s="26"/>
      <c r="M999" s="26"/>
      <c r="N999" s="26"/>
      <c r="O999" s="26"/>
      <c r="P999" s="26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26"/>
      <c r="L1000" s="26"/>
      <c r="M1000" s="26"/>
      <c r="N1000" s="26"/>
      <c r="O1000" s="26"/>
      <c r="P1000" s="26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  <c r="K1001" s="26"/>
      <c r="L1001" s="26"/>
      <c r="M1001" s="26"/>
      <c r="N1001" s="26"/>
      <c r="O1001" s="26"/>
      <c r="P1001" s="26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  <c r="K1002" s="26"/>
      <c r="L1002" s="26"/>
      <c r="M1002" s="26"/>
      <c r="N1002" s="26"/>
      <c r="O1002" s="26"/>
      <c r="P1002" s="26"/>
    </row>
    <row r="1003">
      <c r="B1003" s="1"/>
      <c r="C1003" s="1"/>
      <c r="D1003" s="1"/>
      <c r="E1003" s="1"/>
      <c r="F1003" s="1"/>
      <c r="G1003" s="1"/>
      <c r="H1003" s="1"/>
      <c r="I1003" s="1"/>
      <c r="J1003" s="1"/>
      <c r="K1003" s="26"/>
      <c r="L1003" s="26"/>
      <c r="M1003" s="26"/>
      <c r="N1003" s="26"/>
      <c r="O1003" s="26"/>
      <c r="P1003" s="26"/>
    </row>
    <row r="1004">
      <c r="B1004" s="1"/>
      <c r="C1004" s="1"/>
      <c r="D1004" s="1"/>
      <c r="E1004" s="1"/>
      <c r="F1004" s="1"/>
      <c r="G1004" s="1"/>
      <c r="H1004" s="1"/>
      <c r="I1004" s="1"/>
      <c r="J1004" s="1"/>
      <c r="K1004" s="26"/>
      <c r="L1004" s="26"/>
      <c r="M1004" s="26"/>
      <c r="N1004" s="26"/>
      <c r="O1004" s="26"/>
      <c r="P1004" s="26"/>
    </row>
    <row r="1005">
      <c r="B1005" s="1"/>
      <c r="C1005" s="1"/>
      <c r="D1005" s="1"/>
      <c r="E1005" s="1"/>
      <c r="F1005" s="1"/>
      <c r="G1005" s="1"/>
      <c r="H1005" s="1"/>
      <c r="I1005" s="1"/>
      <c r="J1005" s="1"/>
      <c r="K1005" s="26"/>
      <c r="L1005" s="26"/>
      <c r="M1005" s="26"/>
      <c r="N1005" s="26"/>
      <c r="O1005" s="26"/>
      <c r="P1005" s="26"/>
    </row>
    <row r="1006">
      <c r="B1006" s="1"/>
      <c r="C1006" s="1"/>
      <c r="D1006" s="1"/>
      <c r="E1006" s="1"/>
      <c r="F1006" s="1"/>
      <c r="G1006" s="1"/>
      <c r="H1006" s="1"/>
      <c r="I1006" s="1"/>
      <c r="J1006" s="1"/>
      <c r="K1006" s="26"/>
      <c r="L1006" s="26"/>
      <c r="M1006" s="26"/>
      <c r="N1006" s="26"/>
      <c r="O1006" s="26"/>
      <c r="P1006" s="26"/>
    </row>
    <row r="1007">
      <c r="B1007" s="1"/>
      <c r="C1007" s="1"/>
      <c r="D1007" s="1"/>
      <c r="E1007" s="1"/>
      <c r="F1007" s="1"/>
      <c r="G1007" s="1"/>
      <c r="H1007" s="1"/>
      <c r="I1007" s="1"/>
      <c r="J1007" s="1"/>
      <c r="K1007" s="26"/>
      <c r="L1007" s="26"/>
      <c r="M1007" s="26"/>
      <c r="N1007" s="26"/>
      <c r="O1007" s="26"/>
      <c r="P1007" s="26"/>
    </row>
  </sheetData>
  <mergeCells count="6">
    <mergeCell ref="C8:E8"/>
    <mergeCell ref="F8:G8"/>
    <mergeCell ref="H8:J8"/>
    <mergeCell ref="K8:L8"/>
    <mergeCell ref="M8:M9"/>
    <mergeCell ref="N8:P8"/>
  </mergeCells>
  <dataValidations>
    <dataValidation type="list" allowBlank="1" showErrorMessage="1" sqref="B10:B169">
      <formula1>"CBE,UMB,COR"</formula1>
    </dataValidation>
    <dataValidation type="list" allowBlank="1" showErrorMessage="1" sqref="F10:F169">
      <formula1>"01,02,03,04,05,06,07,08,09,10,11,12,13,14,15,16,17,18,19,20,21,N/A - EDGE"</formula1>
    </dataValidation>
    <dataValidation type="list" allowBlank="1" showErrorMessage="1" sqref="G10:G169">
      <formula1>"12PP,10PP,08PP,06PP,03PP,EDGE"</formula1>
    </dataValidation>
    <dataValidation type="list" allowBlank="1" showErrorMessage="1" sqref="H10:J157 H158:H169">
      <formula1>"-Y,'+Y,-X,'+X,-Z,'+Z,X045,X135,X225,X315"</formula1>
    </dataValidation>
  </dataValidations>
  <drawing r:id="rId1"/>
</worksheet>
</file>